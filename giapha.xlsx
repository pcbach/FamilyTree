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gia pha\"/>
    </mc:Choice>
  </mc:AlternateContent>
  <xr:revisionPtr revIDLastSave="0" documentId="13_ncr:1_{3F734138-1A7A-4A52-8564-5ADD7C16ABC5}" xr6:coauthVersionLast="46" xr6:coauthVersionMax="46" xr10:uidLastSave="{00000000-0000-0000-0000-000000000000}"/>
  <bookViews>
    <workbookView xWindow="-10104" yWindow="12852" windowWidth="23256" windowHeight="12576" xr2:uid="{AF2C7127-3CDA-4D13-9B34-289DE46B4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90" i="1" l="1"/>
  <c r="D184" i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121" i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76" i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46" i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30" i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17" i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5" i="1"/>
  <c r="D6" i="1"/>
  <c r="D7" i="1"/>
  <c r="D8" i="1"/>
  <c r="D9" i="1"/>
  <c r="D10" i="1"/>
  <c r="D11" i="1"/>
  <c r="D12" i="1"/>
  <c r="D13" i="1" s="1"/>
  <c r="D14" i="1" s="1"/>
  <c r="D15" i="1" s="1"/>
  <c r="D16" i="1" s="1"/>
  <c r="D4" i="1"/>
  <c r="C5" i="1"/>
  <c r="C6" i="1"/>
  <c r="C7" i="1"/>
  <c r="C8" i="1"/>
  <c r="C9" i="1"/>
  <c r="C10" i="1"/>
  <c r="C11" i="1"/>
  <c r="C12" i="1"/>
  <c r="C13" i="1" s="1"/>
  <c r="C14" i="1" s="1"/>
  <c r="C15" i="1" s="1"/>
  <c r="C16" i="1" s="1"/>
  <c r="C17" i="1"/>
  <c r="C18" i="1"/>
  <c r="C19" i="1"/>
  <c r="C20" i="1"/>
  <c r="C21" i="1" s="1"/>
  <c r="C22" i="1" s="1"/>
  <c r="C23" i="1" s="1"/>
  <c r="C24" i="1" s="1"/>
  <c r="C25" i="1" s="1"/>
  <c r="C26" i="1" s="1"/>
  <c r="C27" i="1" s="1"/>
  <c r="C28" i="1" s="1"/>
  <c r="C29" i="1" s="1"/>
  <c r="C30" i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/>
  <c r="C122" i="1"/>
  <c r="C123" i="1"/>
  <c r="C124" i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4" i="1"/>
  <c r="E4" i="1" l="1"/>
  <c r="P4" i="1" s="1"/>
  <c r="F5" i="1" s="1"/>
  <c r="E8" i="1"/>
  <c r="P9" i="1" s="1"/>
  <c r="E10" i="1"/>
  <c r="P10" i="1" s="1"/>
  <c r="E11" i="1"/>
  <c r="P11" i="1" s="1"/>
  <c r="F12" i="1" s="1"/>
  <c r="E12" i="1"/>
  <c r="P13" i="1" s="1"/>
  <c r="E17" i="1"/>
  <c r="P19" i="1" s="1"/>
  <c r="F241" i="1" l="1"/>
  <c r="F240" i="1"/>
  <c r="P17" i="1"/>
  <c r="P15" i="1"/>
  <c r="P14" i="1"/>
  <c r="P12" i="1"/>
  <c r="P18" i="1"/>
  <c r="P8" i="1"/>
  <c r="E30" i="1"/>
  <c r="P30" i="1" s="1"/>
  <c r="E46" i="1"/>
  <c r="P46" i="1" s="1"/>
  <c r="E76" i="1"/>
  <c r="E121" i="1"/>
  <c r="P121" i="1" s="1"/>
  <c r="E184" i="1"/>
  <c r="P184" i="1" s="1"/>
  <c r="E7" i="1"/>
  <c r="P7" i="1" s="1"/>
  <c r="E6" i="1"/>
  <c r="P6" i="1" s="1"/>
  <c r="E5" i="1"/>
  <c r="P5" i="1" s="1"/>
  <c r="P76" i="1" l="1"/>
  <c r="P77" i="1"/>
  <c r="F122" i="1" l="1"/>
  <c r="F121" i="1"/>
  <c r="F33" i="1"/>
  <c r="F31" i="1"/>
  <c r="F30" i="1"/>
  <c r="F29" i="1"/>
  <c r="F17" i="1"/>
  <c r="F6" i="1"/>
  <c r="F7" i="1"/>
  <c r="F8" i="1"/>
  <c r="F10" i="1"/>
  <c r="F11" i="1"/>
  <c r="F76" i="1" l="1"/>
  <c r="F83" i="1"/>
  <c r="F84" i="1"/>
  <c r="F82" i="1"/>
  <c r="F81" i="1"/>
  <c r="F20" i="1"/>
  <c r="F23" i="1"/>
  <c r="F26" i="1"/>
  <c r="F27" i="1"/>
  <c r="F28" i="1"/>
  <c r="F79" i="1"/>
  <c r="F25" i="1"/>
  <c r="F78" i="1"/>
  <c r="F80" i="1"/>
  <c r="F24" i="1"/>
  <c r="F16" i="1"/>
  <c r="E180" i="1"/>
  <c r="P180" i="1" s="1"/>
  <c r="F238" i="1" s="1"/>
  <c r="E179" i="1"/>
  <c r="P179" i="1" s="1"/>
  <c r="F235" i="1" s="1"/>
  <c r="E178" i="1"/>
  <c r="P178" i="1" s="1"/>
  <c r="E176" i="1"/>
  <c r="P176" i="1" s="1"/>
  <c r="F228" i="1" s="1"/>
  <c r="E169" i="1"/>
  <c r="P169" i="1" s="1"/>
  <c r="F226" i="1" s="1"/>
  <c r="E168" i="1"/>
  <c r="P168" i="1" s="1"/>
  <c r="E165" i="1"/>
  <c r="P165" i="1" s="1"/>
  <c r="E156" i="1"/>
  <c r="P156" i="1" s="1"/>
  <c r="F215" i="1" s="1"/>
  <c r="E155" i="1"/>
  <c r="P155" i="1" s="1"/>
  <c r="E151" i="1"/>
  <c r="P151" i="1" s="1"/>
  <c r="E150" i="1"/>
  <c r="P150" i="1" s="1"/>
  <c r="F207" i="1" s="1"/>
  <c r="E148" i="1"/>
  <c r="P148" i="1" s="1"/>
  <c r="F205" i="1" s="1"/>
  <c r="E144" i="1"/>
  <c r="P144" i="1" s="1"/>
  <c r="F202" i="1" s="1"/>
  <c r="E143" i="1"/>
  <c r="P143" i="1" s="1"/>
  <c r="E128" i="1"/>
  <c r="P128" i="1" s="1"/>
  <c r="E127" i="1"/>
  <c r="P127" i="1" s="1"/>
  <c r="F188" i="1" s="1"/>
  <c r="E138" i="1"/>
  <c r="P138" i="1" s="1"/>
  <c r="E125" i="1"/>
  <c r="P125" i="1" s="1"/>
  <c r="E43" i="1"/>
  <c r="P43" i="1" s="1"/>
  <c r="F74" i="1" s="1"/>
  <c r="E24" i="1"/>
  <c r="P24" i="1" s="1"/>
  <c r="F38" i="1" s="1"/>
  <c r="E66" i="1"/>
  <c r="P66" i="1" s="1"/>
  <c r="F116" i="1" s="1"/>
  <c r="E50" i="1"/>
  <c r="P50" i="1" s="1"/>
  <c r="E25" i="1"/>
  <c r="P25" i="1" s="1"/>
  <c r="F43" i="1" s="1"/>
  <c r="E37" i="1"/>
  <c r="P37" i="1" s="1"/>
  <c r="F70" i="1" s="1"/>
  <c r="E71" i="1"/>
  <c r="P71" i="1" s="1"/>
  <c r="E65" i="1"/>
  <c r="P65" i="1" s="1"/>
  <c r="E115" i="1"/>
  <c r="P115" i="1" s="1"/>
  <c r="E80" i="1"/>
  <c r="P80" i="1" s="1"/>
  <c r="E112" i="1"/>
  <c r="P112" i="1" s="1"/>
  <c r="E117" i="1"/>
  <c r="P117" i="1" s="1"/>
  <c r="E120" i="1"/>
  <c r="P120" i="1" s="1"/>
  <c r="E49" i="1"/>
  <c r="P49" i="1" s="1"/>
  <c r="F92" i="1" s="1"/>
  <c r="E86" i="1"/>
  <c r="P86" i="1" s="1"/>
  <c r="E60" i="1"/>
  <c r="P60" i="1" s="1"/>
  <c r="F109" i="1" s="1"/>
  <c r="E72" i="1"/>
  <c r="P72" i="1" s="1"/>
  <c r="F120" i="1" s="1"/>
  <c r="E118" i="1"/>
  <c r="P118" i="1" s="1"/>
  <c r="E94" i="1"/>
  <c r="P94" i="1" s="1"/>
  <c r="E85" i="1"/>
  <c r="P85" i="1" s="1"/>
  <c r="E26" i="1"/>
  <c r="P26" i="1" s="1"/>
  <c r="F45" i="1" s="1"/>
  <c r="E79" i="1"/>
  <c r="P79" i="1" s="1"/>
  <c r="F125" i="1" s="1"/>
  <c r="E231" i="1"/>
  <c r="P231" i="1" s="1"/>
  <c r="E191" i="1"/>
  <c r="P191" i="1" s="1"/>
  <c r="E167" i="1"/>
  <c r="P167" i="1" s="1"/>
  <c r="E230" i="1"/>
  <c r="P230" i="1" s="1"/>
  <c r="E206" i="1"/>
  <c r="P206" i="1" s="1"/>
  <c r="E174" i="1"/>
  <c r="P174" i="1" s="1"/>
  <c r="E102" i="1"/>
  <c r="P102" i="1" s="1"/>
  <c r="E70" i="1"/>
  <c r="P70" i="1" s="1"/>
  <c r="E38" i="1"/>
  <c r="P38" i="1" s="1"/>
  <c r="E237" i="1"/>
  <c r="P237" i="1" s="1"/>
  <c r="E213" i="1"/>
  <c r="P213" i="1" s="1"/>
  <c r="E228" i="1"/>
  <c r="P228" i="1" s="1"/>
  <c r="E212" i="1"/>
  <c r="P212" i="1" s="1"/>
  <c r="E188" i="1"/>
  <c r="P188" i="1" s="1"/>
  <c r="E172" i="1"/>
  <c r="P172" i="1" s="1"/>
  <c r="E132" i="1"/>
  <c r="P132" i="1" s="1"/>
  <c r="E116" i="1"/>
  <c r="P116" i="1" s="1"/>
  <c r="E35" i="1"/>
  <c r="P35" i="1" s="1"/>
  <c r="E227" i="1"/>
  <c r="P227" i="1" s="1"/>
  <c r="E211" i="1"/>
  <c r="P211" i="1" s="1"/>
  <c r="E195" i="1"/>
  <c r="P195" i="1" s="1"/>
  <c r="E163" i="1"/>
  <c r="P163" i="1" s="1"/>
  <c r="E147" i="1"/>
  <c r="P147" i="1" s="1"/>
  <c r="E131" i="1"/>
  <c r="P131" i="1" s="1"/>
  <c r="E99" i="1"/>
  <c r="P99" i="1" s="1"/>
  <c r="E83" i="1"/>
  <c r="P83" i="1" s="1"/>
  <c r="E67" i="1"/>
  <c r="P67" i="1" s="1"/>
  <c r="E234" i="1"/>
  <c r="P234" i="1" s="1"/>
  <c r="E226" i="1"/>
  <c r="P226" i="1" s="1"/>
  <c r="E218" i="1"/>
  <c r="P218" i="1" s="1"/>
  <c r="E210" i="1"/>
  <c r="P210" i="1" s="1"/>
  <c r="E202" i="1"/>
  <c r="P202" i="1" s="1"/>
  <c r="E194" i="1"/>
  <c r="P194" i="1" s="1"/>
  <c r="E186" i="1"/>
  <c r="P186" i="1" s="1"/>
  <c r="E170" i="1"/>
  <c r="P170" i="1" s="1"/>
  <c r="E162" i="1"/>
  <c r="P162" i="1" s="1"/>
  <c r="E154" i="1"/>
  <c r="P154" i="1" s="1"/>
  <c r="E146" i="1"/>
  <c r="P146" i="1" s="1"/>
  <c r="E130" i="1"/>
  <c r="P130" i="1" s="1"/>
  <c r="E122" i="1"/>
  <c r="P122" i="1" s="1"/>
  <c r="E114" i="1"/>
  <c r="P114" i="1" s="1"/>
  <c r="E106" i="1"/>
  <c r="P106" i="1" s="1"/>
  <c r="E98" i="1"/>
  <c r="P98" i="1" s="1"/>
  <c r="E90" i="1"/>
  <c r="P90" i="1" s="1"/>
  <c r="E82" i="1"/>
  <c r="P82" i="1" s="1"/>
  <c r="E74" i="1"/>
  <c r="P74" i="1" s="1"/>
  <c r="E42" i="1"/>
  <c r="P42" i="1" s="1"/>
  <c r="E33" i="1"/>
  <c r="P34" i="1" s="1"/>
  <c r="E239" i="1"/>
  <c r="P239" i="1" s="1"/>
  <c r="E207" i="1"/>
  <c r="P207" i="1" s="1"/>
  <c r="E159" i="1"/>
  <c r="P159" i="1" s="1"/>
  <c r="E238" i="1"/>
  <c r="P238" i="1" s="1"/>
  <c r="E222" i="1"/>
  <c r="P222" i="1" s="1"/>
  <c r="E190" i="1"/>
  <c r="E221" i="1"/>
  <c r="P221" i="1" s="1"/>
  <c r="E236" i="1"/>
  <c r="P236" i="1" s="1"/>
  <c r="E220" i="1"/>
  <c r="P220" i="1" s="1"/>
  <c r="E204" i="1"/>
  <c r="P204" i="1" s="1"/>
  <c r="E196" i="1"/>
  <c r="P196" i="1" s="1"/>
  <c r="E164" i="1"/>
  <c r="P164" i="1" s="1"/>
  <c r="E140" i="1"/>
  <c r="P140" i="1" s="1"/>
  <c r="E124" i="1"/>
  <c r="P124" i="1" s="1"/>
  <c r="E108" i="1"/>
  <c r="P108" i="1" s="1"/>
  <c r="E100" i="1"/>
  <c r="P100" i="1" s="1"/>
  <c r="E84" i="1"/>
  <c r="P84" i="1" s="1"/>
  <c r="E68" i="1"/>
  <c r="P68" i="1" s="1"/>
  <c r="E52" i="1"/>
  <c r="P52" i="1" s="1"/>
  <c r="E44" i="1"/>
  <c r="P44" i="1" s="1"/>
  <c r="E28" i="1"/>
  <c r="P28" i="1" s="1"/>
  <c r="E235" i="1"/>
  <c r="P235" i="1" s="1"/>
  <c r="E219" i="1"/>
  <c r="P219" i="1" s="1"/>
  <c r="E203" i="1"/>
  <c r="P203" i="1" s="1"/>
  <c r="E187" i="1"/>
  <c r="P187" i="1" s="1"/>
  <c r="E171" i="1"/>
  <c r="P171" i="1" s="1"/>
  <c r="E139" i="1"/>
  <c r="P139" i="1" s="1"/>
  <c r="E123" i="1"/>
  <c r="P123" i="1" s="1"/>
  <c r="E107" i="1"/>
  <c r="P107" i="1" s="1"/>
  <c r="E91" i="1"/>
  <c r="P91" i="1" s="1"/>
  <c r="E75" i="1"/>
  <c r="P75" i="1" s="1"/>
  <c r="E58" i="1"/>
  <c r="P59" i="1" s="1"/>
  <c r="F108" i="1" s="1"/>
  <c r="E51" i="1"/>
  <c r="P51" i="1" s="1"/>
  <c r="E27" i="1"/>
  <c r="P27" i="1" s="1"/>
  <c r="E233" i="1"/>
  <c r="P233" i="1" s="1"/>
  <c r="E225" i="1"/>
  <c r="P225" i="1" s="1"/>
  <c r="E217" i="1"/>
  <c r="P217" i="1" s="1"/>
  <c r="E209" i="1"/>
  <c r="P209" i="1" s="1"/>
  <c r="E201" i="1"/>
  <c r="P201" i="1" s="1"/>
  <c r="E193" i="1"/>
  <c r="P193" i="1" s="1"/>
  <c r="E185" i="1"/>
  <c r="P185" i="1" s="1"/>
  <c r="E177" i="1"/>
  <c r="P177" i="1" s="1"/>
  <c r="E161" i="1"/>
  <c r="P161" i="1" s="1"/>
  <c r="E153" i="1"/>
  <c r="P153" i="1" s="1"/>
  <c r="E145" i="1"/>
  <c r="P145" i="1" s="1"/>
  <c r="E129" i="1"/>
  <c r="P129" i="1" s="1"/>
  <c r="E113" i="1"/>
  <c r="P113" i="1" s="1"/>
  <c r="E105" i="1"/>
  <c r="P105" i="1" s="1"/>
  <c r="E97" i="1"/>
  <c r="P97" i="1" s="1"/>
  <c r="E89" i="1"/>
  <c r="P89" i="1" s="1"/>
  <c r="E81" i="1"/>
  <c r="P81" i="1" s="1"/>
  <c r="E73" i="1"/>
  <c r="P73" i="1" s="1"/>
  <c r="E57" i="1"/>
  <c r="P57" i="1" s="1"/>
  <c r="E41" i="1"/>
  <c r="P41" i="1" s="1"/>
  <c r="E215" i="1"/>
  <c r="P215" i="1" s="1"/>
  <c r="E175" i="1"/>
  <c r="P175" i="1" s="1"/>
  <c r="E214" i="1"/>
  <c r="P214" i="1" s="1"/>
  <c r="E182" i="1"/>
  <c r="P182" i="1" s="1"/>
  <c r="E158" i="1"/>
  <c r="P158" i="1" s="1"/>
  <c r="E134" i="1"/>
  <c r="P134" i="1" s="1"/>
  <c r="E78" i="1"/>
  <c r="P78" i="1" s="1"/>
  <c r="E20" i="1"/>
  <c r="P22" i="1" s="1"/>
  <c r="E232" i="1"/>
  <c r="P232" i="1" s="1"/>
  <c r="E224" i="1"/>
  <c r="P224" i="1" s="1"/>
  <c r="E216" i="1"/>
  <c r="P216" i="1" s="1"/>
  <c r="E208" i="1"/>
  <c r="P208" i="1" s="1"/>
  <c r="E200" i="1"/>
  <c r="P200" i="1" s="1"/>
  <c r="E192" i="1"/>
  <c r="P192" i="1" s="1"/>
  <c r="E160" i="1"/>
  <c r="P160" i="1" s="1"/>
  <c r="E152" i="1"/>
  <c r="P152" i="1" s="1"/>
  <c r="E136" i="1"/>
  <c r="P137" i="1" s="1"/>
  <c r="E104" i="1"/>
  <c r="P104" i="1" s="1"/>
  <c r="E96" i="1"/>
  <c r="P96" i="1" s="1"/>
  <c r="E88" i="1"/>
  <c r="P88" i="1" s="1"/>
  <c r="E64" i="1"/>
  <c r="P64" i="1" s="1"/>
  <c r="E56" i="1"/>
  <c r="P56" i="1" s="1"/>
  <c r="E47" i="1"/>
  <c r="P47" i="1" s="1"/>
  <c r="E40" i="1"/>
  <c r="P40" i="1" s="1"/>
  <c r="E31" i="1"/>
  <c r="P31" i="1" s="1"/>
  <c r="E16" i="1"/>
  <c r="P16" i="1" s="1"/>
  <c r="E199" i="1"/>
  <c r="P199" i="1" s="1"/>
  <c r="E119" i="1"/>
  <c r="P119" i="1" s="1"/>
  <c r="E110" i="1"/>
  <c r="P110" i="1" s="1"/>
  <c r="E103" i="1"/>
  <c r="P103" i="1" s="1"/>
  <c r="E95" i="1"/>
  <c r="P95" i="1" s="1"/>
  <c r="E87" i="1"/>
  <c r="P87" i="1" s="1"/>
  <c r="E63" i="1"/>
  <c r="P63" i="1" s="1"/>
  <c r="E54" i="1"/>
  <c r="P54" i="1" s="1"/>
  <c r="E39" i="1"/>
  <c r="P39" i="1" s="1"/>
  <c r="E23" i="1"/>
  <c r="P23" i="1" s="1"/>
  <c r="E223" i="1"/>
  <c r="P223" i="1" s="1"/>
  <c r="E183" i="1"/>
  <c r="P183" i="1" s="1"/>
  <c r="E135" i="1"/>
  <c r="P135" i="1" s="1"/>
  <c r="E198" i="1"/>
  <c r="P198" i="1" s="1"/>
  <c r="E166" i="1"/>
  <c r="P166" i="1" s="1"/>
  <c r="E142" i="1"/>
  <c r="P142" i="1" s="1"/>
  <c r="E126" i="1"/>
  <c r="P126" i="1" s="1"/>
  <c r="F186" i="1" s="1"/>
  <c r="E62" i="1"/>
  <c r="P62" i="1" s="1"/>
  <c r="E229" i="1"/>
  <c r="P229" i="1" s="1"/>
  <c r="E205" i="1"/>
  <c r="P205" i="1" s="1"/>
  <c r="E197" i="1"/>
  <c r="P197" i="1" s="1"/>
  <c r="E189" i="1"/>
  <c r="P189" i="1" s="1"/>
  <c r="E181" i="1"/>
  <c r="P181" i="1" s="1"/>
  <c r="E173" i="1"/>
  <c r="P173" i="1" s="1"/>
  <c r="E157" i="1"/>
  <c r="P157" i="1" s="1"/>
  <c r="E149" i="1"/>
  <c r="P149" i="1" s="1"/>
  <c r="E141" i="1"/>
  <c r="P141" i="1" s="1"/>
  <c r="E133" i="1"/>
  <c r="P133" i="1" s="1"/>
  <c r="E109" i="1"/>
  <c r="P109" i="1" s="1"/>
  <c r="E101" i="1"/>
  <c r="P101" i="1" s="1"/>
  <c r="E92" i="1"/>
  <c r="P92" i="1" s="1"/>
  <c r="F135" i="1" s="1"/>
  <c r="E69" i="1"/>
  <c r="P69" i="1" s="1"/>
  <c r="E61" i="1"/>
  <c r="P61" i="1" s="1"/>
  <c r="E53" i="1"/>
  <c r="P53" i="1" s="1"/>
  <c r="E45" i="1"/>
  <c r="P45" i="1" s="1"/>
  <c r="E29" i="1"/>
  <c r="P29" i="1" s="1"/>
  <c r="F219" i="1" l="1"/>
  <c r="F220" i="1"/>
  <c r="F99" i="1"/>
  <c r="F95" i="1"/>
  <c r="F110" i="1"/>
  <c r="F114" i="1"/>
  <c r="P55" i="1"/>
  <c r="F107" i="1" s="1"/>
  <c r="P136" i="1"/>
  <c r="F191" i="1" s="1"/>
  <c r="P20" i="1"/>
  <c r="P21" i="1"/>
  <c r="F35" i="1" s="1"/>
  <c r="F206" i="1"/>
  <c r="F229" i="1"/>
  <c r="F123" i="1"/>
  <c r="F208" i="1"/>
  <c r="F62" i="1"/>
  <c r="F64" i="1"/>
  <c r="F63" i="1"/>
  <c r="F145" i="1"/>
  <c r="F146" i="1"/>
  <c r="F147" i="1"/>
  <c r="F144" i="1"/>
  <c r="F196" i="1"/>
  <c r="F194" i="1"/>
  <c r="F197" i="1"/>
  <c r="F195" i="1"/>
  <c r="F182" i="1"/>
  <c r="F176" i="1"/>
  <c r="F180" i="1"/>
  <c r="F181" i="1"/>
  <c r="F183" i="1"/>
  <c r="F179" i="1"/>
  <c r="F177" i="1"/>
  <c r="F178" i="1"/>
  <c r="F118" i="1"/>
  <c r="F119" i="1"/>
  <c r="F117" i="1"/>
  <c r="F193" i="1"/>
  <c r="F192" i="1"/>
  <c r="F60" i="1"/>
  <c r="F61" i="1"/>
  <c r="F58" i="1"/>
  <c r="F173" i="1"/>
  <c r="F170" i="1"/>
  <c r="F172" i="1"/>
  <c r="F171" i="1"/>
  <c r="F174" i="1"/>
  <c r="F169" i="1"/>
  <c r="F168" i="1"/>
  <c r="F175" i="1"/>
  <c r="F167" i="1"/>
  <c r="F166" i="1"/>
  <c r="F165" i="1"/>
  <c r="F234" i="1"/>
  <c r="F233" i="1"/>
  <c r="F232" i="1"/>
  <c r="F231" i="1"/>
  <c r="F157" i="1"/>
  <c r="F158" i="1"/>
  <c r="F160" i="1"/>
  <c r="F159" i="1"/>
  <c r="F161" i="1"/>
  <c r="F190" i="1"/>
  <c r="F189" i="1"/>
  <c r="F53" i="1"/>
  <c r="F50" i="1"/>
  <c r="F49" i="1"/>
  <c r="F51" i="1"/>
  <c r="F47" i="1"/>
  <c r="F46" i="1"/>
  <c r="F52" i="1"/>
  <c r="F127" i="1"/>
  <c r="F128" i="1"/>
  <c r="F198" i="1"/>
  <c r="F200" i="1"/>
  <c r="F199" i="1"/>
  <c r="F224" i="1"/>
  <c r="F222" i="1"/>
  <c r="F223" i="1"/>
  <c r="F184" i="1"/>
  <c r="F185" i="1"/>
  <c r="F152" i="1"/>
  <c r="F148" i="1"/>
  <c r="F149" i="1"/>
  <c r="F153" i="1"/>
  <c r="F150" i="1"/>
  <c r="F151" i="1"/>
  <c r="F154" i="1"/>
  <c r="F162" i="1"/>
  <c r="F163" i="1"/>
  <c r="F164" i="1"/>
  <c r="F210" i="1"/>
  <c r="F209" i="1"/>
  <c r="F105" i="1"/>
  <c r="F106" i="1"/>
  <c r="F100" i="1"/>
  <c r="F104" i="1"/>
  <c r="F101" i="1"/>
  <c r="F103" i="1"/>
  <c r="F102" i="1"/>
  <c r="F130" i="1"/>
  <c r="F129" i="1"/>
  <c r="F87" i="1"/>
  <c r="F85" i="1"/>
  <c r="F88" i="1"/>
  <c r="F86" i="1"/>
  <c r="F133" i="1"/>
  <c r="F131" i="1"/>
  <c r="F134" i="1"/>
  <c r="F132" i="1"/>
  <c r="F213" i="1"/>
  <c r="F214" i="1"/>
  <c r="F212" i="1"/>
  <c r="F211" i="1"/>
  <c r="P111" i="1"/>
  <c r="P33" i="1"/>
  <c r="F57" i="1" s="1"/>
  <c r="F97" i="1"/>
  <c r="F218" i="1"/>
  <c r="P58" i="1"/>
  <c r="P36" i="1"/>
  <c r="P48" i="1"/>
  <c r="F44" i="1"/>
  <c r="F98" i="1"/>
  <c r="F42" i="1"/>
  <c r="F73" i="1"/>
  <c r="F187" i="1"/>
  <c r="F201" i="1"/>
  <c r="F216" i="1"/>
  <c r="F225" i="1"/>
  <c r="F236" i="1"/>
  <c r="F126" i="1"/>
  <c r="F112" i="1"/>
  <c r="F69" i="1"/>
  <c r="F94" i="1"/>
  <c r="F115" i="1"/>
  <c r="F37" i="1"/>
  <c r="F72" i="1"/>
  <c r="P32" i="1"/>
  <c r="F204" i="1"/>
  <c r="F221" i="1"/>
  <c r="F227" i="1"/>
  <c r="F239" i="1"/>
  <c r="F41" i="1"/>
  <c r="F75" i="1"/>
  <c r="P93" i="1"/>
  <c r="F40" i="1"/>
  <c r="F71" i="1"/>
  <c r="F124" i="1"/>
  <c r="F113" i="1"/>
  <c r="F96" i="1"/>
  <c r="F39" i="1"/>
  <c r="F203" i="1"/>
  <c r="F217" i="1"/>
  <c r="F230" i="1"/>
  <c r="F237" i="1"/>
  <c r="F155" i="1" l="1"/>
  <c r="F156" i="1"/>
  <c r="F56" i="1"/>
  <c r="F54" i="1"/>
  <c r="F142" i="1"/>
  <c r="F138" i="1"/>
  <c r="F136" i="1"/>
  <c r="F143" i="1"/>
  <c r="F141" i="1"/>
  <c r="F139" i="1"/>
  <c r="F140" i="1"/>
  <c r="F90" i="1"/>
  <c r="F91" i="1"/>
  <c r="F89" i="1"/>
  <c r="F66" i="1"/>
  <c r="F65" i="1"/>
  <c r="F67" i="1"/>
  <c r="F68" i="1"/>
</calcChain>
</file>

<file path=xl/sharedStrings.xml><?xml version="1.0" encoding="utf-8"?>
<sst xmlns="http://schemas.openxmlformats.org/spreadsheetml/2006/main" count="1477" uniqueCount="599">
  <si>
    <t xml:space="preserve">Đời </t>
  </si>
  <si>
    <t>STT</t>
  </si>
  <si>
    <t>Mã</t>
  </si>
  <si>
    <t>Tên</t>
  </si>
  <si>
    <t>Sinh</t>
  </si>
  <si>
    <t>Mất</t>
  </si>
  <si>
    <t>Từ Ơn</t>
  </si>
  <si>
    <t>Từ Trân</t>
  </si>
  <si>
    <t>Tự</t>
  </si>
  <si>
    <t>Húy</t>
  </si>
  <si>
    <t>Hiệu</t>
  </si>
  <si>
    <t>Nguyễn Thị Duyên</t>
  </si>
  <si>
    <t>Phấn</t>
  </si>
  <si>
    <t>Nguyễn Thị Nhơn</t>
  </si>
  <si>
    <t>Nguyễn Thị Sanh</t>
  </si>
  <si>
    <t>Lê</t>
  </si>
  <si>
    <t>Văng</t>
  </si>
  <si>
    <t>Mã Mẹ</t>
  </si>
  <si>
    <t>Thọ</t>
  </si>
  <si>
    <t>Vợ/Chồng</t>
  </si>
  <si>
    <t>Nguyễn Thị Tiếp</t>
  </si>
  <si>
    <t>Đăng</t>
  </si>
  <si>
    <t>Chi</t>
  </si>
  <si>
    <t xml:space="preserve">Trương </t>
  </si>
  <si>
    <t>5/10</t>
  </si>
  <si>
    <t>Ngô Thị Khước</t>
  </si>
  <si>
    <t>Mỹ</t>
  </si>
  <si>
    <t>1779</t>
  </si>
  <si>
    <t>21/10/1841</t>
  </si>
  <si>
    <t>Toa</t>
  </si>
  <si>
    <t>1797</t>
  </si>
  <si>
    <t>29/10/1858</t>
  </si>
  <si>
    <t>Nguyễn Thị Chỉnh</t>
  </si>
  <si>
    <t>1808</t>
  </si>
  <si>
    <t>1829</t>
  </si>
  <si>
    <t>Nguyễn Thị Lịch</t>
  </si>
  <si>
    <t>Từ Tĩnh</t>
  </si>
  <si>
    <t>1812</t>
  </si>
  <si>
    <t>30/07/1844</t>
  </si>
  <si>
    <t>Ngô Thị Hinh</t>
  </si>
  <si>
    <t>Từ Hương</t>
  </si>
  <si>
    <t>6/10</t>
  </si>
  <si>
    <t xml:space="preserve">Đỗ Thị Trác </t>
  </si>
  <si>
    <t>1809</t>
  </si>
  <si>
    <t>14/12/1889</t>
  </si>
  <si>
    <t>10/03</t>
  </si>
  <si>
    <t>Từ Ninh</t>
  </si>
  <si>
    <t>Giáo</t>
  </si>
  <si>
    <t>1827</t>
  </si>
  <si>
    <t>Chú Thích</t>
  </si>
  <si>
    <t>Trần Quí Nguyên</t>
  </si>
  <si>
    <t>Nguyên</t>
  </si>
  <si>
    <t>1826</t>
  </si>
  <si>
    <t>10/08/1899</t>
  </si>
  <si>
    <t>Nguyễn Thị Nghiên</t>
  </si>
  <si>
    <t>Hiểu</t>
  </si>
  <si>
    <t>1831</t>
  </si>
  <si>
    <t>28/08/1900</t>
  </si>
  <si>
    <t>Nguyễn Thị Đệ</t>
  </si>
  <si>
    <t>Đê</t>
  </si>
  <si>
    <t>19/04</t>
  </si>
  <si>
    <t>4 vợ: 6 Trai, 3 Gái</t>
  </si>
  <si>
    <t>Huyến</t>
  </si>
  <si>
    <t>1839</t>
  </si>
  <si>
    <t>Đi lính đóng đội</t>
  </si>
  <si>
    <t>Nguyễn Thị Huynh</t>
  </si>
  <si>
    <t>Cao Thị Thanh</t>
  </si>
  <si>
    <t>11/05</t>
  </si>
  <si>
    <t>11/01/1871</t>
  </si>
  <si>
    <t>17/05/1815</t>
  </si>
  <si>
    <t>14/04</t>
  </si>
  <si>
    <t>19/03</t>
  </si>
  <si>
    <t>12/01/1899</t>
  </si>
  <si>
    <t>8/01</t>
  </si>
  <si>
    <t>Nghiêm Thị Đoan</t>
  </si>
  <si>
    <t>Chính</t>
  </si>
  <si>
    <t>Quê Thái Bình, Vạn Thái, Hà Tây</t>
  </si>
  <si>
    <t>8/08</t>
  </si>
  <si>
    <t>Xuyển</t>
  </si>
  <si>
    <t>20/01</t>
  </si>
  <si>
    <t>Trần Thị Vạnh</t>
  </si>
  <si>
    <t>Vịnh</t>
  </si>
  <si>
    <t>Hoản</t>
  </si>
  <si>
    <t>18/06</t>
  </si>
  <si>
    <t>Ngô Thị Thướt</t>
  </si>
  <si>
    <t>Thiết</t>
  </si>
  <si>
    <t>28/02</t>
  </si>
  <si>
    <t>Huyển</t>
  </si>
  <si>
    <t>9/01</t>
  </si>
  <si>
    <t>Phùng Thị Điểm</t>
  </si>
  <si>
    <t>Kiển</t>
  </si>
  <si>
    <t>7/05</t>
  </si>
  <si>
    <t>06/08</t>
  </si>
  <si>
    <t>Chết non</t>
  </si>
  <si>
    <t>Hịn</t>
  </si>
  <si>
    <t>1862</t>
  </si>
  <si>
    <t>16/05/1935</t>
  </si>
  <si>
    <t>Làm Chánh Tổng</t>
  </si>
  <si>
    <t>Làm Cai Tổng</t>
  </si>
  <si>
    <t>Đỗ Thị Chinh</t>
  </si>
  <si>
    <t>Trường</t>
  </si>
  <si>
    <t>1865</t>
  </si>
  <si>
    <t>20/04/1932</t>
  </si>
  <si>
    <t>Ngô Thị Khuyết</t>
  </si>
  <si>
    <t>Khang</t>
  </si>
  <si>
    <t>1874</t>
  </si>
  <si>
    <t>1962</t>
  </si>
  <si>
    <t>1859</t>
  </si>
  <si>
    <t>1919</t>
  </si>
  <si>
    <t>06/02/1919</t>
  </si>
  <si>
    <t>Đặng Thị Mụ</t>
  </si>
  <si>
    <t>Lê Thị Quệ</t>
  </si>
  <si>
    <t>12/05</t>
  </si>
  <si>
    <t>15/05</t>
  </si>
  <si>
    <t>29/01</t>
  </si>
  <si>
    <t>Nghiêm Thị Vấm</t>
  </si>
  <si>
    <t>Quyển</t>
  </si>
  <si>
    <t>15/12</t>
  </si>
  <si>
    <t>Ngô Thị Tiện</t>
  </si>
  <si>
    <t>Hiền</t>
  </si>
  <si>
    <t>06/06</t>
  </si>
  <si>
    <t>Con</t>
  </si>
  <si>
    <t>Trai</t>
  </si>
  <si>
    <t>Gái</t>
  </si>
  <si>
    <t>Làm Cai Tổng thời vua Lê Lợi</t>
  </si>
  <si>
    <t>04/08</t>
  </si>
  <si>
    <t>Nguyễn Thị Tẩy</t>
  </si>
  <si>
    <t>Đảng</t>
  </si>
  <si>
    <t>06/04</t>
  </si>
  <si>
    <t>Mất Tích</t>
  </si>
  <si>
    <t>22/01</t>
  </si>
  <si>
    <t>11/04</t>
  </si>
  <si>
    <t xml:space="preserve">Ngô Thị Hiện </t>
  </si>
  <si>
    <t>21/03</t>
  </si>
  <si>
    <t>1887</t>
  </si>
  <si>
    <t>57</t>
  </si>
  <si>
    <t>Nghiêm Thị Châu</t>
  </si>
  <si>
    <t>Chân</t>
  </si>
  <si>
    <t>1885</t>
  </si>
  <si>
    <t>27/10/1966</t>
  </si>
  <si>
    <t>1888</t>
  </si>
  <si>
    <t>14/01/1961</t>
  </si>
  <si>
    <t>75</t>
  </si>
  <si>
    <t>Nguyễn Thị Viên</t>
  </si>
  <si>
    <t>Viên</t>
  </si>
  <si>
    <t>1886</t>
  </si>
  <si>
    <t>23/03/1939</t>
  </si>
  <si>
    <t>Đỗ Thị Thuyện</t>
  </si>
  <si>
    <t>08/04/1949</t>
  </si>
  <si>
    <t>1912</t>
  </si>
  <si>
    <t>1891</t>
  </si>
  <si>
    <t>1924</t>
  </si>
  <si>
    <t>34</t>
  </si>
  <si>
    <t>27/11/1924</t>
  </si>
  <si>
    <t>Nguyễn Thị Thuế</t>
  </si>
  <si>
    <t>29/07</t>
  </si>
  <si>
    <t>1906</t>
  </si>
  <si>
    <t>1974</t>
  </si>
  <si>
    <t>Làm Chánh Hội</t>
  </si>
  <si>
    <t>68</t>
  </si>
  <si>
    <t>16/01/1974</t>
  </si>
  <si>
    <t>Nguyễn Thị Diễn</t>
  </si>
  <si>
    <t>1903</t>
  </si>
  <si>
    <t>14/12/1991</t>
  </si>
  <si>
    <t>1901</t>
  </si>
  <si>
    <t>17/11/1975</t>
  </si>
  <si>
    <t>Nguyễn Thị Trá</t>
  </si>
  <si>
    <t>12/07/1973</t>
  </si>
  <si>
    <t>Trần Thị Trừ</t>
  </si>
  <si>
    <t>29/12</t>
  </si>
  <si>
    <t>35</t>
  </si>
  <si>
    <t>Trần Thị Xuân</t>
  </si>
  <si>
    <t>Trần Thị Loát</t>
  </si>
  <si>
    <t>29/12/1978</t>
  </si>
  <si>
    <t>Ông bị điên</t>
  </si>
  <si>
    <t>Đỗ Thị Thoa</t>
  </si>
  <si>
    <t>Đi lấy chồng khác vì ông bị điên</t>
  </si>
  <si>
    <t>Phạm Văn Điện</t>
  </si>
  <si>
    <t>06/10/1983</t>
  </si>
  <si>
    <t>74</t>
  </si>
  <si>
    <t>1909</t>
  </si>
  <si>
    <t>23/11</t>
  </si>
  <si>
    <t>40</t>
  </si>
  <si>
    <t>Nguyễn Thị Quỳ</t>
  </si>
  <si>
    <t>14/05</t>
  </si>
  <si>
    <t>Phạm Văn Úy</t>
  </si>
  <si>
    <t>Phạm Văn Vân</t>
  </si>
  <si>
    <t>Phạm Văn Sơn</t>
  </si>
  <si>
    <t>20/10</t>
  </si>
  <si>
    <t>65</t>
  </si>
  <si>
    <t xml:space="preserve">Ngô Thị Xuyên </t>
  </si>
  <si>
    <t>06/12/1982</t>
  </si>
  <si>
    <t>1900</t>
  </si>
  <si>
    <t xml:space="preserve">Ngô Thị Chủy </t>
  </si>
  <si>
    <t>14/07</t>
  </si>
  <si>
    <t>14/06</t>
  </si>
  <si>
    <t>Phạm Văn Thủy</t>
  </si>
  <si>
    <t>Vào Sài Gòn sinh sống</t>
  </si>
  <si>
    <t>12/09</t>
  </si>
  <si>
    <t>Thắng</t>
  </si>
  <si>
    <t>Phạm Văn Khải</t>
  </si>
  <si>
    <t>Phạm Văn Khích</t>
  </si>
  <si>
    <t>13/07</t>
  </si>
  <si>
    <t>Nguyễn Thị Phế</t>
  </si>
  <si>
    <t>16/04</t>
  </si>
  <si>
    <t>07/04</t>
  </si>
  <si>
    <t>36</t>
  </si>
  <si>
    <t>Nguyễn Thị Rúc</t>
  </si>
  <si>
    <t>12/04</t>
  </si>
  <si>
    <t>Phạm Mạnh Thao</t>
  </si>
  <si>
    <t>11/01/1957</t>
  </si>
  <si>
    <t>54</t>
  </si>
  <si>
    <t>Nguyễn Thị Ịch</t>
  </si>
  <si>
    <t>Địch</t>
  </si>
  <si>
    <t>13/09/1973</t>
  </si>
  <si>
    <t>Nguyễn Thị Xuân</t>
  </si>
  <si>
    <t>22/03/1981</t>
  </si>
  <si>
    <t>1911</t>
  </si>
  <si>
    <t>Phạm Trọng Tấn</t>
  </si>
  <si>
    <t>1907</t>
  </si>
  <si>
    <t>17/12/1972</t>
  </si>
  <si>
    <t>Đặng Thị È</t>
  </si>
  <si>
    <t>Trịnh</t>
  </si>
  <si>
    <t>25/10/1975</t>
  </si>
  <si>
    <t>Trung</t>
  </si>
  <si>
    <t>Phạm Tam Cấp</t>
  </si>
  <si>
    <t>19/09/1985</t>
  </si>
  <si>
    <t>66</t>
  </si>
  <si>
    <t>Nguyễn Thị Vinh An</t>
  </si>
  <si>
    <t>26/06/1984</t>
  </si>
  <si>
    <t>1926</t>
  </si>
  <si>
    <t>Phạm Tư Phách</t>
  </si>
  <si>
    <t>1922</t>
  </si>
  <si>
    <t>1952</t>
  </si>
  <si>
    <t>30</t>
  </si>
  <si>
    <t>Liệt Sĩ</t>
  </si>
  <si>
    <t>18/01/1952</t>
  </si>
  <si>
    <t>Vũ Thị Nhiễu</t>
  </si>
  <si>
    <t>09/03/1966</t>
  </si>
  <si>
    <t>Năm 1957 đi lấy chồng</t>
  </si>
  <si>
    <t>1932</t>
  </si>
  <si>
    <t>25</t>
  </si>
  <si>
    <t>21/05/1932</t>
  </si>
  <si>
    <t>Đỗ Thị Thoan</t>
  </si>
  <si>
    <t>22/08/1972</t>
  </si>
  <si>
    <t>1931</t>
  </si>
  <si>
    <t>Nghiêm Thị Phi</t>
  </si>
  <si>
    <t>Phạm Đình Kế</t>
  </si>
  <si>
    <t>Sinh cơ lập nghiệp tại Bắc Thái</t>
  </si>
  <si>
    <t>Nguyễn Thị ?</t>
  </si>
  <si>
    <t>Phạm Tất Tố</t>
  </si>
  <si>
    <t>29/09/2003</t>
  </si>
  <si>
    <t>82</t>
  </si>
  <si>
    <t>Dương Thị Sinh</t>
  </si>
  <si>
    <t>17/09</t>
  </si>
  <si>
    <t>Nguyễn Thị Vụn</t>
  </si>
  <si>
    <t>Phạm Mạnh Quán</t>
  </si>
  <si>
    <t>Phạm Đình Độ</t>
  </si>
  <si>
    <t>Phạm Trọng Trạch</t>
  </si>
  <si>
    <t>1929</t>
  </si>
  <si>
    <t>Nguyễn Thị Sinh</t>
  </si>
  <si>
    <t>1939</t>
  </si>
  <si>
    <t>4/4/1971</t>
  </si>
  <si>
    <t>32</t>
  </si>
  <si>
    <t>Nguyễn Thị Ngắn</t>
  </si>
  <si>
    <t>Đi lấy chồng</t>
  </si>
  <si>
    <t>Không có con, đi lấy chồng</t>
  </si>
  <si>
    <t>1942</t>
  </si>
  <si>
    <t>16/06/1969</t>
  </si>
  <si>
    <t>Phạm Văn Quyên</t>
  </si>
  <si>
    <t>Phạm Văn Túy</t>
  </si>
  <si>
    <t>1927</t>
  </si>
  <si>
    <t>21/02/2006</t>
  </si>
  <si>
    <t>79</t>
  </si>
  <si>
    <t>Nguyễn Thị Xì</t>
  </si>
  <si>
    <t>3/10/1996</t>
  </si>
  <si>
    <t>Ngô Thị Thu</t>
  </si>
  <si>
    <t>Phạm Văn Hảo</t>
  </si>
  <si>
    <t>Sinh cơ lập nghiệp tại Thanh Hóa</t>
  </si>
  <si>
    <t>Tiết Thị Ngữ</t>
  </si>
  <si>
    <t>Phạm Văn Vụ</t>
  </si>
  <si>
    <t>Sinh cơ lập nghiệp tại Hải Phòng</t>
  </si>
  <si>
    <t>Nguyễn Thị Thanh</t>
  </si>
  <si>
    <t>Phạm Văn Chiểu</t>
  </si>
  <si>
    <t>Phạm Văn Bình</t>
  </si>
  <si>
    <t>Phạm Mạnh Khoa</t>
  </si>
  <si>
    <t>07/04/1981</t>
  </si>
  <si>
    <t>63</t>
  </si>
  <si>
    <t>Nguyễn Thị Trạc</t>
  </si>
  <si>
    <t>26/01/1987</t>
  </si>
  <si>
    <t>59</t>
  </si>
  <si>
    <t>Phạm Thị Chẩn</t>
  </si>
  <si>
    <t>1933</t>
  </si>
  <si>
    <t>02/07/2002</t>
  </si>
  <si>
    <t>80</t>
  </si>
  <si>
    <t>Phạm Thị Ca</t>
  </si>
  <si>
    <t>1925</t>
  </si>
  <si>
    <t>Phạm Hồng Chuyên</t>
  </si>
  <si>
    <t>Nguyễn Thu Hương</t>
  </si>
  <si>
    <t>Phạm Hồng Ngoạn</t>
  </si>
  <si>
    <t>1965</t>
  </si>
  <si>
    <t>Lê Thị Thu Minh</t>
  </si>
  <si>
    <t>Phạm Hồng Trung</t>
  </si>
  <si>
    <t>1947</t>
  </si>
  <si>
    <t>Nguyễn Thị Ngọ</t>
  </si>
  <si>
    <t>Phạm Hồng Chính</t>
  </si>
  <si>
    <t>1949</t>
  </si>
  <si>
    <t>12/10/1949</t>
  </si>
  <si>
    <t>29/12/1961</t>
  </si>
  <si>
    <t>31/08/1964</t>
  </si>
  <si>
    <t>Phạm Thi Hoan</t>
  </si>
  <si>
    <t>13/09/1955</t>
  </si>
  <si>
    <t>Phạm Phi Hùng</t>
  </si>
  <si>
    <t>Phạm Văn Hiệp</t>
  </si>
  <si>
    <t>Phạm Tất Thắng</t>
  </si>
  <si>
    <t>Phạm Tất Thành</t>
  </si>
  <si>
    <t>1968</t>
  </si>
  <si>
    <t>Nguyễn Thị Y lan</t>
  </si>
  <si>
    <t>1970</t>
  </si>
  <si>
    <t xml:space="preserve"> Lê Thị Thu Hương</t>
  </si>
  <si>
    <t>1983</t>
  </si>
  <si>
    <t>?</t>
  </si>
  <si>
    <t>21/01/1971</t>
  </si>
  <si>
    <t>Trần Thị Thu Trang</t>
  </si>
  <si>
    <t>06/06/1978</t>
  </si>
  <si>
    <t>Phạm Tuấn Anh</t>
  </si>
  <si>
    <t>Phạm Tuấn Hưng</t>
  </si>
  <si>
    <t>Phạm Văn Quang</t>
  </si>
  <si>
    <t>1963</t>
  </si>
  <si>
    <t>Nguyễn Thị Chiêm</t>
  </si>
  <si>
    <t>13/05/1974</t>
  </si>
  <si>
    <t>Hoàng Thị Thúy</t>
  </si>
  <si>
    <t>1973</t>
  </si>
  <si>
    <t>Trang Thị Tuyết</t>
  </si>
  <si>
    <t>Phạm Hồng Thái</t>
  </si>
  <si>
    <t>Phạm Hồng Minh</t>
  </si>
  <si>
    <t>Pham Văn Từ</t>
  </si>
  <si>
    <t>Trần Thị Mỹ</t>
  </si>
  <si>
    <t>Phạm Văn Liên</t>
  </si>
  <si>
    <t>1953</t>
  </si>
  <si>
    <t>03/12/1971</t>
  </si>
  <si>
    <t>18</t>
  </si>
  <si>
    <t>Nguyễn Thị Chẵn</t>
  </si>
  <si>
    <t>1960</t>
  </si>
  <si>
    <t>Nguyễn Thị Sáu</t>
  </si>
  <si>
    <t>1971</t>
  </si>
  <si>
    <t>Phạm Văn Thư</t>
  </si>
  <si>
    <t>Phạm Văn Thịnh</t>
  </si>
  <si>
    <t>Phạm Văn Hải</t>
  </si>
  <si>
    <t>Phạm Văn Hùng</t>
  </si>
  <si>
    <t>Phạm Văn Dũng</t>
  </si>
  <si>
    <t>Phạm Quốc Hiểu</t>
  </si>
  <si>
    <t>Phạm Văn Thành</t>
  </si>
  <si>
    <t>Phạm Văn Thanh</t>
  </si>
  <si>
    <t>Phạm Văn Vinh</t>
  </si>
  <si>
    <t>Phạm Mạnh Kì</t>
  </si>
  <si>
    <t>Phạm Hồng Cẩm</t>
  </si>
  <si>
    <t>Phạm Văn Toán</t>
  </si>
  <si>
    <t>Ngô Thị Lan</t>
  </si>
  <si>
    <t>1966</t>
  </si>
  <si>
    <t>Nguyễn Thị Phúc</t>
  </si>
  <si>
    <t>Sinh cơ lập nghiệp tại Sông Bé</t>
  </si>
  <si>
    <t>1944</t>
  </si>
  <si>
    <t>24/08/2000</t>
  </si>
  <si>
    <t>56</t>
  </si>
  <si>
    <t>Trịnh Thị Minh</t>
  </si>
  <si>
    <t>1957</t>
  </si>
  <si>
    <t>Nguyễn Thị Dé</t>
  </si>
  <si>
    <t>15/12/2007</t>
  </si>
  <si>
    <t>45</t>
  </si>
  <si>
    <t>Nguyễn Thị Liên</t>
  </si>
  <si>
    <t>1972</t>
  </si>
  <si>
    <t>1946</t>
  </si>
  <si>
    <t>19/04/20001</t>
  </si>
  <si>
    <t>55</t>
  </si>
  <si>
    <t>29/04/1969</t>
  </si>
  <si>
    <t>20</t>
  </si>
  <si>
    <t>Nguyễn Thị Lý</t>
  </si>
  <si>
    <t>1959</t>
  </si>
  <si>
    <t>Nguyễn Thị Khỏe</t>
  </si>
  <si>
    <t>Phạm Văn Đoán</t>
  </si>
  <si>
    <t>Phạm Văn Đoàn</t>
  </si>
  <si>
    <t>1969</t>
  </si>
  <si>
    <t>Nguyễn Thị Hiếu</t>
  </si>
  <si>
    <t>1967</t>
  </si>
  <si>
    <t>Phạm Trí Tùng</t>
  </si>
  <si>
    <t>Nguyễn Thanh Thảo</t>
  </si>
  <si>
    <t>10/10/1992</t>
  </si>
  <si>
    <t>26/01/1990</t>
  </si>
  <si>
    <t>Phạm Chí Bách</t>
  </si>
  <si>
    <t>21/10/1999</t>
  </si>
  <si>
    <t>Phạm Chí Nguyên</t>
  </si>
  <si>
    <t>17/05/2008</t>
  </si>
  <si>
    <t>Phạm Chí Dũng</t>
  </si>
  <si>
    <t>Phạm Chí Kiên</t>
  </si>
  <si>
    <t>Phạm Vũ Hồng Chinh</t>
  </si>
  <si>
    <t>Phạm Chí Công</t>
  </si>
  <si>
    <t>Phạm Y Linh</t>
  </si>
  <si>
    <t>Phạm Tất Tùng</t>
  </si>
  <si>
    <t>Phạm Trúc Lâm</t>
  </si>
  <si>
    <t>17/04/1999</t>
  </si>
  <si>
    <t>31/12/2006</t>
  </si>
  <si>
    <t>26/04/2009</t>
  </si>
  <si>
    <t>Phạm Anh Thư</t>
  </si>
  <si>
    <t>Phạm Anh Tú</t>
  </si>
  <si>
    <t>Phạm Anh Trúc</t>
  </si>
  <si>
    <t>Phạm Tất Thành Trí</t>
  </si>
  <si>
    <t>29/06/2002</t>
  </si>
  <si>
    <t>22/11/2003</t>
  </si>
  <si>
    <t>18/08/2007</t>
  </si>
  <si>
    <t>15/12/2008</t>
  </si>
  <si>
    <t>Phạm Ngọc Ánh</t>
  </si>
  <si>
    <t>Phạm Khánh Linh</t>
  </si>
  <si>
    <t>Phạm Thanh Tùng</t>
  </si>
  <si>
    <t>24/02/1994</t>
  </si>
  <si>
    <t>11/8/2000</t>
  </si>
  <si>
    <t>1/3/2008</t>
  </si>
  <si>
    <t>Phạm Phú Thịnh</t>
  </si>
  <si>
    <t>Phạm Phú Toàn</t>
  </si>
  <si>
    <t>Phạm Đức Long</t>
  </si>
  <si>
    <t>Phạm Đức Nam</t>
  </si>
  <si>
    <t>Phạm Thị Hạnh</t>
  </si>
  <si>
    <t>Phạm Thị Mai</t>
  </si>
  <si>
    <t>Phạm Văn Tiến</t>
  </si>
  <si>
    <t>Phạm Thị Ngọc</t>
  </si>
  <si>
    <t>Phạm Thị Hằng</t>
  </si>
  <si>
    <t>Phạm Văn Mạnh</t>
  </si>
  <si>
    <t>Phạm Thị Hà</t>
  </si>
  <si>
    <t>Phạm Thị Thanh Nhàn</t>
  </si>
  <si>
    <t>Phạm Văn Cường</t>
  </si>
  <si>
    <t>Phạm Thị Hồng</t>
  </si>
  <si>
    <t>Phạm Thế Lộc</t>
  </si>
  <si>
    <t xml:space="preserve">Phạm Quốc Hoàn </t>
  </si>
  <si>
    <t>Phạm Quốc Việt</t>
  </si>
  <si>
    <t>Phạm Thu Hồng</t>
  </si>
  <si>
    <t>Phạm Thị Thu Hà</t>
  </si>
  <si>
    <t>Phạm Thị Thu Hương</t>
  </si>
  <si>
    <t>Phạm Thị Toàn</t>
  </si>
  <si>
    <t>Phạm Thị Hoàn</t>
  </si>
  <si>
    <t>Phạm Văn Long</t>
  </si>
  <si>
    <t>Phạm Thị Phượng</t>
  </si>
  <si>
    <t>Phạm Văn Diên</t>
  </si>
  <si>
    <t>Phạm Văn Phiên</t>
  </si>
  <si>
    <t>Phạm Thị Lan</t>
  </si>
  <si>
    <t>Phạm Thị Huệ</t>
  </si>
  <si>
    <t>Phạm Thị Ngần</t>
  </si>
  <si>
    <t>Phạm Thị Ngoan</t>
  </si>
  <si>
    <t>Phạm Văn Tuệ</t>
  </si>
  <si>
    <t>Phạm Văn Tuyển</t>
  </si>
  <si>
    <t>Phạm Văn Đông</t>
  </si>
  <si>
    <t>Phạm Thị Bắc</t>
  </si>
  <si>
    <t>Phạm Thị Hường</t>
  </si>
  <si>
    <t>24/10/1980</t>
  </si>
  <si>
    <t>Đinh Thị Thủy</t>
  </si>
  <si>
    <t>23/12/1984</t>
  </si>
  <si>
    <t>13/08/1982</t>
  </si>
  <si>
    <t>Nguyễn Thị Ngọc Huyền</t>
  </si>
  <si>
    <t>12/01/1982</t>
  </si>
  <si>
    <t>14/12/1985</t>
  </si>
  <si>
    <t>06/08/1984</t>
  </si>
  <si>
    <t>Hoàng Hải Hậu</t>
  </si>
  <si>
    <t>24/05/1984</t>
  </si>
  <si>
    <t>Phạm Văn Tuyên</t>
  </si>
  <si>
    <t>Phạm Văn Bẹt</t>
  </si>
  <si>
    <t>Phạm Thị Vinh</t>
  </si>
  <si>
    <t>Phạm Thị Phái</t>
  </si>
  <si>
    <t>Phạm Thị An Khang</t>
  </si>
  <si>
    <t>Phạm Thị Minh Phương</t>
  </si>
  <si>
    <t>Phạm Thị Hoan</t>
  </si>
  <si>
    <t>Phạm Thị Toan</t>
  </si>
  <si>
    <t>11/01/1998</t>
  </si>
  <si>
    <t>Phạm Thị Điệp</t>
  </si>
  <si>
    <t>Phạm Thị Tâm</t>
  </si>
  <si>
    <t>Phạm Thị Ánh</t>
  </si>
  <si>
    <t>Phạm Thị Khanh</t>
  </si>
  <si>
    <t>Phạm Thị Nhung</t>
  </si>
  <si>
    <t>Phạm Thị Dung</t>
  </si>
  <si>
    <t>Phạm Thị Đông</t>
  </si>
  <si>
    <t>Phạm Thị Hương</t>
  </si>
  <si>
    <t>Phạm Thị Hiếu</t>
  </si>
  <si>
    <t>Phạm Thị Thư</t>
  </si>
  <si>
    <t>Phạm Thi Ninh</t>
  </si>
  <si>
    <t>Phạm Thị Hưng</t>
  </si>
  <si>
    <t>Phạm Thị Hiền</t>
  </si>
  <si>
    <t>Phạm Thị Huyền</t>
  </si>
  <si>
    <t>Phạm Thị Hòa</t>
  </si>
  <si>
    <t>Phạm Thị Bột</t>
  </si>
  <si>
    <t>Phạm Thị Liên</t>
  </si>
  <si>
    <t>Phạm Thi Minh</t>
  </si>
  <si>
    <t>Phạm Thị Tám</t>
  </si>
  <si>
    <t>Phạm Thị Dinh</t>
  </si>
  <si>
    <t>Phạm Thị Ninh</t>
  </si>
  <si>
    <t>Phạm Thị Dư</t>
  </si>
  <si>
    <t>Làm quan bổ Hành Kiểu</t>
  </si>
  <si>
    <t>Phạm Đình Duyện</t>
  </si>
  <si>
    <t>Phạm Thị Diễn</t>
  </si>
  <si>
    <t>Phạm Thị Triện</t>
  </si>
  <si>
    <t>Phạm Thị Lãng</t>
  </si>
  <si>
    <t>Trần Kỳ</t>
  </si>
  <si>
    <t>Quê ở làng Thượng Quất</t>
  </si>
  <si>
    <t>Phạm Đình Nghĩa</t>
  </si>
  <si>
    <t>Phạm Đình Kiện</t>
  </si>
  <si>
    <t>Phạm Đình Tráng</t>
  </si>
  <si>
    <t>Phạm Đình Mận</t>
  </si>
  <si>
    <t>Phạm Thị Trấn</t>
  </si>
  <si>
    <t>Phạm Thị Võ</t>
  </si>
  <si>
    <t>Phạm Thị Quyển</t>
  </si>
  <si>
    <t>Phạm Đình Khắc</t>
  </si>
  <si>
    <t>Phạm Đình Ban</t>
  </si>
  <si>
    <t>Phạm Tụy</t>
  </si>
  <si>
    <t>Phạm Tế</t>
  </si>
  <si>
    <t>Phạm Thế</t>
  </si>
  <si>
    <t>Phạm Thiếp</t>
  </si>
  <si>
    <t>Phạm Phổ</t>
  </si>
  <si>
    <t>Phạm Thị Kinh</t>
  </si>
  <si>
    <t>Phạm Thi Quyền</t>
  </si>
  <si>
    <t>Phạm Thị Lượng</t>
  </si>
  <si>
    <t>Phạm Quý Triêm</t>
  </si>
  <si>
    <t>Phạm Thị Kiệu</t>
  </si>
  <si>
    <t>Phạm Thị Vòng</t>
  </si>
  <si>
    <t>Phạm Văn Trẽ</t>
  </si>
  <si>
    <t>Phạm Văn Trượi</t>
  </si>
  <si>
    <t>Phạm Thị Ủn</t>
  </si>
  <si>
    <t>Phạm Thị My</t>
  </si>
  <si>
    <t>Phạm Thị Nhị</t>
  </si>
  <si>
    <t>Phạm Thị Hệ</t>
  </si>
  <si>
    <t>Phạm Thị Khúc</t>
  </si>
  <si>
    <t>Phạm Thị Đích</t>
  </si>
  <si>
    <t>Phạm Thị Thích</t>
  </si>
  <si>
    <t>Phạm Thị Qui</t>
  </si>
  <si>
    <t>Phạm Thị Phác</t>
  </si>
  <si>
    <t>Phạm Thị Thoa</t>
  </si>
  <si>
    <t>Phạm Thị Thục</t>
  </si>
  <si>
    <t>Phạm Đình Lạc</t>
  </si>
  <si>
    <t>Phạm Trọng Trạc</t>
  </si>
  <si>
    <t>Phạm Thị Các</t>
  </si>
  <si>
    <t>Phạm Thị Tác</t>
  </si>
  <si>
    <t>Phạm Thị Chuyền</t>
  </si>
  <si>
    <t>Phạm Thị Tiễn</t>
  </si>
  <si>
    <t>Phạm Thị Uyên</t>
  </si>
  <si>
    <t>Phạm Thị Hải</t>
  </si>
  <si>
    <t>Phạm Thị Thiêm</t>
  </si>
  <si>
    <t>Phạm Thị Đạm</t>
  </si>
  <si>
    <t>Phạm Thị Bình</t>
  </si>
  <si>
    <t>Phạm Thị Trị</t>
  </si>
  <si>
    <t>Phạm Thị Dương</t>
  </si>
  <si>
    <t>Phạm Thị Hảo</t>
  </si>
  <si>
    <t>Phạm Thị Be</t>
  </si>
  <si>
    <t>Phạm Thị Quí</t>
  </si>
  <si>
    <t>Phạm Thị Vũ</t>
  </si>
  <si>
    <t>0.0.0.0</t>
  </si>
  <si>
    <t>Số Lượng</t>
  </si>
  <si>
    <t>1</t>
  </si>
  <si>
    <t>2</t>
  </si>
  <si>
    <t>3</t>
  </si>
  <si>
    <t>4</t>
  </si>
  <si>
    <t>0</t>
  </si>
  <si>
    <t>Phúc An</t>
  </si>
  <si>
    <t>Phúc Kiên</t>
  </si>
  <si>
    <t>Phúc Tiến</t>
  </si>
  <si>
    <t>Phúc Hữu</t>
  </si>
  <si>
    <t>Đình Huyên</t>
  </si>
  <si>
    <t>Đình Giai</t>
  </si>
  <si>
    <t>Công Thạc</t>
  </si>
  <si>
    <t>Công Bá</t>
  </si>
  <si>
    <t>Đình Tín</t>
  </si>
  <si>
    <t>Đình Phan</t>
  </si>
  <si>
    <t>Đình Thiều</t>
  </si>
  <si>
    <t>Đình Lâm</t>
  </si>
  <si>
    <t>Đình Chất</t>
  </si>
  <si>
    <t>Đình Chương</t>
  </si>
  <si>
    <t>Đình Thúy</t>
  </si>
  <si>
    <t>Đình Trọng</t>
  </si>
  <si>
    <t>Đình Cẩn</t>
  </si>
  <si>
    <t>Đình Tấn</t>
  </si>
  <si>
    <t>Đình Du</t>
  </si>
  <si>
    <t>Mạnh Quỳnh</t>
  </si>
  <si>
    <t>Đình Tuân</t>
  </si>
  <si>
    <t>Đình Côi</t>
  </si>
  <si>
    <t>Đình Trẽ</t>
  </si>
  <si>
    <t>Đình Trượi</t>
  </si>
  <si>
    <t>Đình Tơ</t>
  </si>
  <si>
    <t>Hồng Thủy</t>
  </si>
  <si>
    <t>Song Hà</t>
  </si>
  <si>
    <t>Lê Thành</t>
  </si>
  <si>
    <t>Đình Ân</t>
  </si>
  <si>
    <t>Nhất Nguyên</t>
  </si>
  <si>
    <t>Văn Việt</t>
  </si>
  <si>
    <t>Văn Tư</t>
  </si>
  <si>
    <t>Văn Năm</t>
  </si>
  <si>
    <t>Chí Tùng</t>
  </si>
  <si>
    <t>Chí Đại</t>
  </si>
  <si>
    <t>Giới
Tính</t>
  </si>
  <si>
    <t>Nam</t>
  </si>
  <si>
    <t>Nữ</t>
  </si>
  <si>
    <t>Chi 2</t>
  </si>
  <si>
    <t>Chi 3</t>
  </si>
  <si>
    <t>Không Rõ</t>
  </si>
  <si>
    <t>10/03/1943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</si>
</sst>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rgb="FFFFFF00"/>
      <name val="Calibri"/>
      <family val="2"/>
      <scheme val="minor"/>
    </font>
    <font>
      <sz val="14"/>
      <color rgb="FF00B0F0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10" fillId="3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4" fillId="3" borderId="3" xfId="1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textRotation="180"/>
    </xf>
    <xf numFmtId="43" fontId="7" fillId="0" borderId="1" xfId="1" applyFont="1" applyBorder="1" applyAlignment="1">
      <alignment horizontal="center" vertical="center"/>
    </xf>
    <xf numFmtId="49" fontId="3" fillId="3" borderId="3" xfId="1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textRotation="180"/>
    </xf>
    <xf numFmtId="0" fontId="12" fillId="0" borderId="11" xfId="0" applyFont="1" applyBorder="1" applyAlignment="1">
      <alignment horizontal="center" vertical="center" textRotation="180"/>
    </xf>
    <xf numFmtId="0" fontId="12" fillId="0" borderId="7" xfId="0" applyFont="1" applyBorder="1" applyAlignment="1">
      <alignment horizontal="center" vertical="center" textRotation="180"/>
    </xf>
    <xf numFmtId="0" fontId="4" fillId="2" borderId="11" xfId="0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textRotation="180"/>
    </xf>
    <xf numFmtId="49" fontId="7" fillId="0" borderId="7" xfId="0" applyNumberFormat="1" applyFont="1" applyBorder="1" applyAlignment="1">
      <alignment horizontal="center" vertical="center" textRotation="180"/>
    </xf>
    <xf numFmtId="49" fontId="4" fillId="3" borderId="4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43" fontId="4" fillId="3" borderId="4" xfId="1" applyFont="1" applyFill="1" applyBorder="1" applyAlignment="1">
      <alignment horizontal="center" vertical="center"/>
    </xf>
    <xf numFmtId="43" fontId="4" fillId="3" borderId="5" xfId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font>
        <strike/>
      </font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color auto="1"/>
      </font>
      <fill>
        <patternFill patternType="solid">
          <fgColor theme="1"/>
          <bgColor theme="5" tint="0.79995117038483843"/>
        </patternFill>
      </fill>
      <border>
        <left style="thin">
          <color auto="1"/>
        </left>
        <right style="thin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color rgb="FFC00000"/>
      </font>
    </dxf>
    <dxf>
      <font>
        <b/>
        <i val="0"/>
        <color theme="4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0162-BF81-4CDE-86F1-C5D7ECDE1D1B}">
  <dimension ref="A1:X463"/>
  <sheetViews>
    <sheetView tabSelected="1" topLeftCell="D1" zoomScale="85" zoomScaleNormal="85" workbookViewId="0">
      <pane ySplit="3" topLeftCell="A46" activePane="bottomLeft" state="frozen"/>
      <selection activeCell="B1" sqref="B1"/>
      <selection pane="bottomLeft" activeCell="J50" sqref="J50"/>
    </sheetView>
  </sheetViews>
  <sheetFormatPr defaultRowHeight="18.75" x14ac:dyDescent="0.25"/>
  <cols>
    <col min="1" max="3" width="8" style="1" bestFit="1" customWidth="1"/>
    <col min="4" max="4" width="10.7109375" style="1" bestFit="1" customWidth="1"/>
    <col min="5" max="5" width="9.85546875" style="1" customWidth="1"/>
    <col min="6" max="6" width="12" style="1" bestFit="1" customWidth="1"/>
    <col min="7" max="7" width="25.5703125" style="1" bestFit="1" customWidth="1"/>
    <col min="8" max="8" width="29.28515625" style="1" bestFit="1" customWidth="1"/>
    <col min="9" max="9" width="9.140625" style="1" bestFit="1" customWidth="1"/>
    <col min="10" max="10" width="15.85546875" style="2" customWidth="1"/>
    <col min="11" max="11" width="16.7109375" style="2" customWidth="1"/>
    <col min="12" max="12" width="11.85546875" style="2" bestFit="1" customWidth="1"/>
    <col min="13" max="13" width="37.7109375" style="2" customWidth="1"/>
    <col min="14" max="14" width="9.5703125" style="2" bestFit="1" customWidth="1"/>
    <col min="15" max="15" width="7.85546875" style="1" bestFit="1" customWidth="1"/>
    <col min="16" max="16" width="12" style="1" bestFit="1" customWidth="1"/>
    <col min="17" max="17" width="28" style="1" bestFit="1" customWidth="1"/>
    <col min="18" max="18" width="12.28515625" style="1" bestFit="1" customWidth="1"/>
    <col min="19" max="19" width="15.85546875" style="2" customWidth="1"/>
    <col min="20" max="20" width="14.85546875" style="2" bestFit="1" customWidth="1"/>
    <col min="21" max="21" width="8.140625" style="1" bestFit="1" customWidth="1"/>
    <col min="22" max="22" width="8.28515625" style="1" bestFit="1" customWidth="1"/>
    <col min="23" max="23" width="7.42578125" style="1" bestFit="1" customWidth="1"/>
    <col min="24" max="24" width="38.42578125" style="1" bestFit="1" customWidth="1"/>
    <col min="25" max="16384" width="9.140625" style="1"/>
  </cols>
  <sheetData>
    <row r="1" spans="1:24" ht="30" thickTop="1" thickBot="1" x14ac:dyDescent="0.3">
      <c r="A1" s="56" t="s">
        <v>0</v>
      </c>
      <c r="B1" s="56" t="s">
        <v>22</v>
      </c>
      <c r="C1" s="75" t="s">
        <v>1</v>
      </c>
      <c r="D1" s="56" t="s">
        <v>1</v>
      </c>
      <c r="E1" s="75" t="s">
        <v>2</v>
      </c>
      <c r="F1" s="56" t="s">
        <v>17</v>
      </c>
      <c r="G1" s="60" t="s">
        <v>3</v>
      </c>
      <c r="H1" s="60"/>
      <c r="I1" s="62" t="s">
        <v>592</v>
      </c>
      <c r="J1" s="61" t="s">
        <v>4</v>
      </c>
      <c r="K1" s="65" t="s">
        <v>5</v>
      </c>
      <c r="L1" s="65" t="s">
        <v>18</v>
      </c>
      <c r="M1" s="65" t="s">
        <v>49</v>
      </c>
      <c r="N1" s="23"/>
      <c r="O1" s="66" t="s">
        <v>19</v>
      </c>
      <c r="P1" s="67"/>
      <c r="Q1" s="67"/>
      <c r="R1" s="67"/>
      <c r="S1" s="67"/>
      <c r="T1" s="67"/>
      <c r="U1" s="67"/>
      <c r="V1" s="67"/>
      <c r="W1" s="67"/>
      <c r="X1" s="68"/>
    </row>
    <row r="2" spans="1:24" ht="30" thickTop="1" thickBot="1" x14ac:dyDescent="0.3">
      <c r="A2" s="56"/>
      <c r="B2" s="56"/>
      <c r="C2" s="76"/>
      <c r="D2" s="56"/>
      <c r="E2" s="76"/>
      <c r="F2" s="56"/>
      <c r="G2" s="57" t="s">
        <v>8</v>
      </c>
      <c r="H2" s="60" t="s">
        <v>9</v>
      </c>
      <c r="I2" s="63"/>
      <c r="J2" s="61"/>
      <c r="K2" s="65"/>
      <c r="L2" s="65"/>
      <c r="M2" s="65"/>
      <c r="N2" s="79" t="s">
        <v>551</v>
      </c>
      <c r="O2" s="71" t="s">
        <v>1</v>
      </c>
      <c r="P2" s="71" t="s">
        <v>2</v>
      </c>
      <c r="Q2" s="60" t="s">
        <v>9</v>
      </c>
      <c r="R2" s="60" t="s">
        <v>10</v>
      </c>
      <c r="S2" s="65" t="s">
        <v>4</v>
      </c>
      <c r="T2" s="65" t="s">
        <v>5</v>
      </c>
      <c r="U2" s="60" t="s">
        <v>18</v>
      </c>
      <c r="V2" s="60" t="s">
        <v>121</v>
      </c>
      <c r="W2" s="60"/>
      <c r="X2" s="60" t="s">
        <v>49</v>
      </c>
    </row>
    <row r="3" spans="1:24" ht="71.25" customHeight="1" thickTop="1" thickBot="1" x14ac:dyDescent="0.3">
      <c r="A3" s="56"/>
      <c r="B3" s="56"/>
      <c r="C3" s="77"/>
      <c r="D3" s="56"/>
      <c r="E3" s="76"/>
      <c r="F3" s="56"/>
      <c r="G3" s="57"/>
      <c r="H3" s="60"/>
      <c r="I3" s="64"/>
      <c r="J3" s="61"/>
      <c r="K3" s="65"/>
      <c r="L3" s="65"/>
      <c r="M3" s="65"/>
      <c r="N3" s="80"/>
      <c r="O3" s="64"/>
      <c r="P3" s="64"/>
      <c r="Q3" s="60"/>
      <c r="R3" s="60"/>
      <c r="S3" s="65"/>
      <c r="T3" s="65"/>
      <c r="U3" s="60"/>
      <c r="V3" s="36" t="s">
        <v>122</v>
      </c>
      <c r="W3" s="36" t="s">
        <v>123</v>
      </c>
      <c r="X3" s="60"/>
    </row>
    <row r="4" spans="1:24" ht="20.25" thickTop="1" thickBot="1" x14ac:dyDescent="0.3">
      <c r="A4" s="4">
        <v>1</v>
      </c>
      <c r="B4" s="4">
        <v>0</v>
      </c>
      <c r="C4" s="4">
        <f>IF(A4&lt;&gt;A3,1,IF(ISBLANK(B4),C3,C3+1))</f>
        <v>1</v>
      </c>
      <c r="D4" s="4">
        <f>IF(I4="Nữ",D3,IF(A4&lt;&gt;A3,1,IF(ISBLANK(B4),D3,D3+1)))</f>
        <v>1</v>
      </c>
      <c r="E4" s="4" t="str">
        <f>A4&amp;"."&amp;B4&amp;"."&amp;C4</f>
        <v>1.0.1</v>
      </c>
      <c r="F4" s="4" t="s">
        <v>550</v>
      </c>
      <c r="G4" s="5" t="s">
        <v>557</v>
      </c>
      <c r="H4" s="5"/>
      <c r="I4" s="4" t="s">
        <v>593</v>
      </c>
      <c r="J4" s="6" t="s">
        <v>597</v>
      </c>
      <c r="K4" s="6" t="s">
        <v>24</v>
      </c>
      <c r="L4" s="6" t="s">
        <v>597</v>
      </c>
      <c r="M4" s="6"/>
      <c r="N4" s="6" t="s">
        <v>552</v>
      </c>
      <c r="O4" s="7">
        <v>1</v>
      </c>
      <c r="P4" s="7" t="str">
        <f>E4&amp;"."&amp;O4</f>
        <v>1.0.1.1</v>
      </c>
      <c r="Q4" s="4"/>
      <c r="R4" s="4" t="s">
        <v>6</v>
      </c>
      <c r="S4" s="6" t="s">
        <v>597</v>
      </c>
      <c r="T4" s="6" t="s">
        <v>597</v>
      </c>
      <c r="U4" s="4"/>
      <c r="V4" s="4">
        <v>1</v>
      </c>
      <c r="W4" s="4">
        <v>0</v>
      </c>
      <c r="X4" s="4"/>
    </row>
    <row r="5" spans="1:24" ht="20.25" thickTop="1" thickBot="1" x14ac:dyDescent="0.3">
      <c r="A5" s="28">
        <v>2</v>
      </c>
      <c r="B5" s="28">
        <v>0</v>
      </c>
      <c r="C5" s="4">
        <f t="shared" ref="C5:C68" si="0">IF(A5&lt;&gt;A4,1,IF(ISBLANK(B5),C4,C4+1))</f>
        <v>1</v>
      </c>
      <c r="D5" s="4">
        <f t="shared" ref="D5:D28" si="1">IF(I5="Nữ",D4,IF(A5&lt;&gt;A4,1,IF(ISBLANK(B5),D4,D4+1)))</f>
        <v>1</v>
      </c>
      <c r="E5" s="28" t="str">
        <f t="shared" ref="E5:E68" si="2">A5&amp;"."&amp;B5&amp;"."&amp;C5</f>
        <v>2.0.1</v>
      </c>
      <c r="F5" s="28" t="str">
        <f>P4</f>
        <v>1.0.1.1</v>
      </c>
      <c r="G5" s="29" t="s">
        <v>558</v>
      </c>
      <c r="H5" s="29"/>
      <c r="I5" s="28" t="s">
        <v>593</v>
      </c>
      <c r="J5" s="6" t="s">
        <v>597</v>
      </c>
      <c r="K5" s="6" t="s">
        <v>597</v>
      </c>
      <c r="L5" s="6" t="s">
        <v>597</v>
      </c>
      <c r="M5" s="31"/>
      <c r="N5" s="31" t="s">
        <v>552</v>
      </c>
      <c r="O5" s="28">
        <v>1</v>
      </c>
      <c r="P5" s="34" t="str">
        <f>E5&amp;"."&amp;O5</f>
        <v>2.0.1.1</v>
      </c>
      <c r="Q5" s="28"/>
      <c r="R5" s="28" t="s">
        <v>7</v>
      </c>
      <c r="S5" s="6" t="s">
        <v>597</v>
      </c>
      <c r="T5" s="6" t="s">
        <v>597</v>
      </c>
      <c r="U5" s="28"/>
      <c r="V5" s="28">
        <v>1</v>
      </c>
      <c r="W5" s="28">
        <v>0</v>
      </c>
      <c r="X5" s="28"/>
    </row>
    <row r="6" spans="1:24" ht="20.25" thickTop="1" thickBot="1" x14ac:dyDescent="0.3">
      <c r="A6" s="27">
        <v>3</v>
      </c>
      <c r="B6" s="27">
        <v>0</v>
      </c>
      <c r="C6" s="4">
        <f t="shared" si="0"/>
        <v>1</v>
      </c>
      <c r="D6" s="4">
        <f t="shared" si="1"/>
        <v>1</v>
      </c>
      <c r="E6" s="27" t="str">
        <f t="shared" si="2"/>
        <v>3.0.1</v>
      </c>
      <c r="F6" s="27" t="str">
        <f>P5</f>
        <v>2.0.1.1</v>
      </c>
      <c r="G6" s="30" t="s">
        <v>559</v>
      </c>
      <c r="H6" s="30"/>
      <c r="I6" s="27" t="s">
        <v>593</v>
      </c>
      <c r="J6" s="6" t="s">
        <v>597</v>
      </c>
      <c r="K6" s="6" t="s">
        <v>597</v>
      </c>
      <c r="L6" s="6" t="s">
        <v>597</v>
      </c>
      <c r="M6" s="33"/>
      <c r="N6" s="33" t="s">
        <v>552</v>
      </c>
      <c r="O6" s="27">
        <v>1</v>
      </c>
      <c r="P6" s="32" t="str">
        <f>E6&amp;"."&amp;O6</f>
        <v>3.0.1.1</v>
      </c>
      <c r="Q6" s="27" t="s">
        <v>11</v>
      </c>
      <c r="R6" s="27"/>
      <c r="S6" s="6" t="s">
        <v>597</v>
      </c>
      <c r="T6" s="6" t="s">
        <v>597</v>
      </c>
      <c r="U6" s="27"/>
      <c r="V6" s="27">
        <v>1</v>
      </c>
      <c r="W6" s="27">
        <v>0</v>
      </c>
      <c r="X6" s="27"/>
    </row>
    <row r="7" spans="1:24" ht="20.25" thickTop="1" thickBot="1" x14ac:dyDescent="0.3">
      <c r="A7" s="28">
        <v>4</v>
      </c>
      <c r="B7" s="28">
        <v>0</v>
      </c>
      <c r="C7" s="4">
        <f t="shared" si="0"/>
        <v>1</v>
      </c>
      <c r="D7" s="4">
        <f t="shared" si="1"/>
        <v>1</v>
      </c>
      <c r="E7" s="28" t="str">
        <f t="shared" si="2"/>
        <v>4.0.1</v>
      </c>
      <c r="F7" s="28" t="str">
        <f>P6</f>
        <v>3.0.1.1</v>
      </c>
      <c r="G7" s="29" t="s">
        <v>560</v>
      </c>
      <c r="H7" s="29" t="s">
        <v>12</v>
      </c>
      <c r="I7" s="28" t="s">
        <v>593</v>
      </c>
      <c r="J7" s="6" t="s">
        <v>597</v>
      </c>
      <c r="K7" s="31" t="s">
        <v>70</v>
      </c>
      <c r="L7" s="6" t="s">
        <v>597</v>
      </c>
      <c r="M7" s="31"/>
      <c r="N7" s="31" t="s">
        <v>552</v>
      </c>
      <c r="O7" s="34">
        <v>1</v>
      </c>
      <c r="P7" s="34" t="str">
        <f>E7&amp;"."&amp;O7</f>
        <v>4.0.1.1</v>
      </c>
      <c r="Q7" s="28"/>
      <c r="R7" s="28"/>
      <c r="S7" s="6" t="s">
        <v>597</v>
      </c>
      <c r="T7" s="6" t="s">
        <v>597</v>
      </c>
      <c r="U7" s="28"/>
      <c r="V7" s="28">
        <v>1</v>
      </c>
      <c r="W7" s="28">
        <v>0</v>
      </c>
      <c r="X7" s="28"/>
    </row>
    <row r="8" spans="1:24" ht="20.25" thickTop="1" thickBot="1" x14ac:dyDescent="0.3">
      <c r="A8" s="27">
        <v>5</v>
      </c>
      <c r="B8" s="42">
        <v>0</v>
      </c>
      <c r="C8" s="4">
        <f t="shared" si="0"/>
        <v>1</v>
      </c>
      <c r="D8" s="4">
        <f t="shared" si="1"/>
        <v>1</v>
      </c>
      <c r="E8" s="48" t="str">
        <f t="shared" si="2"/>
        <v>5.0.1</v>
      </c>
      <c r="F8" s="48" t="str">
        <f>P7</f>
        <v>4.0.1.1</v>
      </c>
      <c r="G8" s="50" t="s">
        <v>561</v>
      </c>
      <c r="H8" s="42" t="s">
        <v>508</v>
      </c>
      <c r="I8" s="27" t="s">
        <v>593</v>
      </c>
      <c r="J8" s="69" t="s">
        <v>597</v>
      </c>
      <c r="K8" s="54" t="s">
        <v>597</v>
      </c>
      <c r="L8" s="53">
        <v>82</v>
      </c>
      <c r="M8" s="54" t="s">
        <v>124</v>
      </c>
      <c r="N8" s="69" t="s">
        <v>553</v>
      </c>
      <c r="O8" s="27">
        <v>1</v>
      </c>
      <c r="P8" s="32" t="str">
        <f>E8&amp;"."&amp;O8</f>
        <v>5.0.1.1</v>
      </c>
      <c r="Q8" s="27" t="s">
        <v>13</v>
      </c>
      <c r="R8" s="27" t="s">
        <v>15</v>
      </c>
      <c r="S8" s="6" t="s">
        <v>597</v>
      </c>
      <c r="T8" s="6" t="s">
        <v>597</v>
      </c>
      <c r="U8" s="27"/>
      <c r="V8" s="27">
        <v>1</v>
      </c>
      <c r="W8" s="27">
        <v>0</v>
      </c>
      <c r="X8" s="27"/>
    </row>
    <row r="9" spans="1:24" ht="20.25" thickTop="1" thickBot="1" x14ac:dyDescent="0.3">
      <c r="A9" s="27">
        <v>5</v>
      </c>
      <c r="B9" s="42"/>
      <c r="C9" s="4">
        <f t="shared" si="0"/>
        <v>1</v>
      </c>
      <c r="D9" s="4">
        <f t="shared" si="1"/>
        <v>1</v>
      </c>
      <c r="E9" s="49"/>
      <c r="F9" s="49"/>
      <c r="G9" s="50"/>
      <c r="H9" s="42"/>
      <c r="I9" s="27" t="s">
        <v>593</v>
      </c>
      <c r="J9" s="90"/>
      <c r="K9" s="54"/>
      <c r="L9" s="53"/>
      <c r="M9" s="54"/>
      <c r="N9" s="70"/>
      <c r="O9" s="27">
        <v>2</v>
      </c>
      <c r="P9" s="32" t="str">
        <f>E8&amp;"."&amp;O9</f>
        <v>5.0.1.2</v>
      </c>
      <c r="Q9" s="27" t="s">
        <v>14</v>
      </c>
      <c r="R9" s="27" t="s">
        <v>16</v>
      </c>
      <c r="S9" s="6" t="s">
        <v>597</v>
      </c>
      <c r="T9" s="6" t="s">
        <v>597</v>
      </c>
      <c r="U9" s="27"/>
      <c r="V9" s="27">
        <v>1</v>
      </c>
      <c r="W9" s="27">
        <v>0</v>
      </c>
      <c r="X9" s="27" t="s">
        <v>76</v>
      </c>
    </row>
    <row r="10" spans="1:24" ht="20.25" thickTop="1" thickBot="1" x14ac:dyDescent="0.3">
      <c r="A10" s="28">
        <v>6</v>
      </c>
      <c r="B10" s="28">
        <v>0</v>
      </c>
      <c r="C10" s="4">
        <f t="shared" si="0"/>
        <v>1</v>
      </c>
      <c r="D10" s="4">
        <f t="shared" si="1"/>
        <v>1</v>
      </c>
      <c r="E10" s="28" t="str">
        <f t="shared" si="2"/>
        <v>6.0.1</v>
      </c>
      <c r="F10" s="28" t="str">
        <f>P8</f>
        <v>5.0.1.1</v>
      </c>
      <c r="G10" s="29" t="s">
        <v>562</v>
      </c>
      <c r="H10" s="29" t="s">
        <v>18</v>
      </c>
      <c r="I10" s="28" t="s">
        <v>593</v>
      </c>
      <c r="J10" s="6" t="s">
        <v>597</v>
      </c>
      <c r="K10" s="31" t="s">
        <v>71</v>
      </c>
      <c r="L10" s="6" t="s">
        <v>597</v>
      </c>
      <c r="M10" s="31"/>
      <c r="N10" s="31" t="s">
        <v>552</v>
      </c>
      <c r="O10" s="28">
        <v>1</v>
      </c>
      <c r="P10" s="34" t="str">
        <f>E10&amp;"."&amp;O10</f>
        <v>6.0.1.1</v>
      </c>
      <c r="Q10" s="28" t="s">
        <v>20</v>
      </c>
      <c r="R10" s="28" t="s">
        <v>21</v>
      </c>
      <c r="S10" s="6" t="s">
        <v>597</v>
      </c>
      <c r="T10" s="31" t="s">
        <v>73</v>
      </c>
      <c r="U10" s="28"/>
      <c r="V10" s="28">
        <v>3</v>
      </c>
      <c r="W10" s="28">
        <v>0</v>
      </c>
      <c r="X10" s="28"/>
    </row>
    <row r="11" spans="1:24" ht="20.25" thickTop="1" thickBot="1" x14ac:dyDescent="0.3">
      <c r="A11" s="27">
        <v>7</v>
      </c>
      <c r="B11" s="27">
        <v>1</v>
      </c>
      <c r="C11" s="4">
        <f t="shared" si="0"/>
        <v>1</v>
      </c>
      <c r="D11" s="4">
        <f t="shared" si="1"/>
        <v>1</v>
      </c>
      <c r="E11" s="27" t="str">
        <f t="shared" si="2"/>
        <v>7.1.1</v>
      </c>
      <c r="F11" s="27" t="str">
        <f>P10</f>
        <v>6.0.1.1</v>
      </c>
      <c r="G11" s="30" t="s">
        <v>563</v>
      </c>
      <c r="H11" s="30" t="s">
        <v>23</v>
      </c>
      <c r="I11" s="27" t="s">
        <v>593</v>
      </c>
      <c r="J11" s="33">
        <v>1775</v>
      </c>
      <c r="K11" s="33" t="s">
        <v>69</v>
      </c>
      <c r="L11" s="32">
        <v>41</v>
      </c>
      <c r="M11" s="33"/>
      <c r="N11" s="33" t="s">
        <v>552</v>
      </c>
      <c r="O11" s="27">
        <v>1</v>
      </c>
      <c r="P11" s="32" t="str">
        <f>E11&amp;"."&amp;O11</f>
        <v>7.1.1.1</v>
      </c>
      <c r="Q11" s="27" t="s">
        <v>25</v>
      </c>
      <c r="R11" s="27" t="s">
        <v>26</v>
      </c>
      <c r="S11" s="33" t="s">
        <v>27</v>
      </c>
      <c r="T11" s="33" t="s">
        <v>28</v>
      </c>
      <c r="U11" s="27"/>
      <c r="V11" s="27">
        <v>2</v>
      </c>
      <c r="W11" s="27">
        <v>0</v>
      </c>
      <c r="X11" s="27"/>
    </row>
    <row r="12" spans="1:24" ht="20.25" thickTop="1" thickBot="1" x14ac:dyDescent="0.3">
      <c r="A12" s="28">
        <v>8</v>
      </c>
      <c r="B12" s="43">
        <v>1</v>
      </c>
      <c r="C12" s="4">
        <f t="shared" si="0"/>
        <v>1</v>
      </c>
      <c r="D12" s="4">
        <f t="shared" si="1"/>
        <v>1</v>
      </c>
      <c r="E12" s="44" t="str">
        <f t="shared" si="2"/>
        <v>8.1.1</v>
      </c>
      <c r="F12" s="44" t="str">
        <f>P11</f>
        <v>7.1.1.1</v>
      </c>
      <c r="G12" s="47" t="s">
        <v>564</v>
      </c>
      <c r="H12" s="47" t="s">
        <v>29</v>
      </c>
      <c r="I12" s="27" t="s">
        <v>593</v>
      </c>
      <c r="J12" s="51" t="s">
        <v>30</v>
      </c>
      <c r="K12" s="51" t="s">
        <v>31</v>
      </c>
      <c r="L12" s="52">
        <v>62</v>
      </c>
      <c r="M12" s="51" t="s">
        <v>61</v>
      </c>
      <c r="N12" s="81" t="s">
        <v>555</v>
      </c>
      <c r="O12" s="28">
        <v>1</v>
      </c>
      <c r="P12" s="34" t="str">
        <f>E12&amp;"."&amp;O12</f>
        <v>8.1.1.1</v>
      </c>
      <c r="Q12" s="28" t="s">
        <v>32</v>
      </c>
      <c r="R12" s="28" t="s">
        <v>46</v>
      </c>
      <c r="S12" s="31" t="s">
        <v>33</v>
      </c>
      <c r="T12" s="31" t="s">
        <v>34</v>
      </c>
      <c r="U12" s="28">
        <v>22</v>
      </c>
      <c r="V12" s="28">
        <v>1</v>
      </c>
      <c r="W12" s="28">
        <v>0</v>
      </c>
      <c r="X12" s="28"/>
    </row>
    <row r="13" spans="1:24" ht="20.25" thickTop="1" thickBot="1" x14ac:dyDescent="0.3">
      <c r="A13" s="28">
        <v>8</v>
      </c>
      <c r="B13" s="43"/>
      <c r="C13" s="4">
        <f t="shared" si="0"/>
        <v>1</v>
      </c>
      <c r="D13" s="4">
        <f t="shared" si="1"/>
        <v>1</v>
      </c>
      <c r="E13" s="45"/>
      <c r="F13" s="45"/>
      <c r="G13" s="47"/>
      <c r="H13" s="47"/>
      <c r="I13" s="27" t="s">
        <v>593</v>
      </c>
      <c r="J13" s="51"/>
      <c r="K13" s="51"/>
      <c r="L13" s="52"/>
      <c r="M13" s="51"/>
      <c r="N13" s="82"/>
      <c r="O13" s="28">
        <v>2</v>
      </c>
      <c r="P13" s="34" t="str">
        <f>E12&amp;"."&amp;O13</f>
        <v>8.1.1.2</v>
      </c>
      <c r="Q13" s="28" t="s">
        <v>35</v>
      </c>
      <c r="R13" s="28" t="s">
        <v>36</v>
      </c>
      <c r="S13" s="31" t="s">
        <v>37</v>
      </c>
      <c r="T13" s="31" t="s">
        <v>38</v>
      </c>
      <c r="U13" s="28">
        <v>32</v>
      </c>
      <c r="V13" s="28">
        <v>1</v>
      </c>
      <c r="W13" s="28">
        <v>1</v>
      </c>
      <c r="X13" s="28"/>
    </row>
    <row r="14" spans="1:24" ht="20.25" thickTop="1" thickBot="1" x14ac:dyDescent="0.3">
      <c r="A14" s="28">
        <v>8</v>
      </c>
      <c r="B14" s="43"/>
      <c r="C14" s="4">
        <f t="shared" si="0"/>
        <v>1</v>
      </c>
      <c r="D14" s="4">
        <f t="shared" si="1"/>
        <v>1</v>
      </c>
      <c r="E14" s="45"/>
      <c r="F14" s="45"/>
      <c r="G14" s="47"/>
      <c r="H14" s="47"/>
      <c r="I14" s="27" t="s">
        <v>593</v>
      </c>
      <c r="J14" s="51"/>
      <c r="K14" s="51"/>
      <c r="L14" s="52"/>
      <c r="M14" s="51"/>
      <c r="N14" s="82"/>
      <c r="O14" s="28">
        <v>3</v>
      </c>
      <c r="P14" s="34" t="str">
        <f>E12&amp;"."&amp;O14</f>
        <v>8.1.1.3</v>
      </c>
      <c r="Q14" s="28" t="s">
        <v>39</v>
      </c>
      <c r="R14" s="28" t="s">
        <v>40</v>
      </c>
      <c r="S14" s="31"/>
      <c r="T14" s="31" t="s">
        <v>41</v>
      </c>
      <c r="U14" s="28"/>
      <c r="V14" s="28">
        <v>3</v>
      </c>
      <c r="W14" s="28">
        <v>2</v>
      </c>
      <c r="X14" s="28"/>
    </row>
    <row r="15" spans="1:24" ht="20.25" thickTop="1" thickBot="1" x14ac:dyDescent="0.3">
      <c r="A15" s="28">
        <v>8</v>
      </c>
      <c r="B15" s="43"/>
      <c r="C15" s="4">
        <f t="shared" si="0"/>
        <v>1</v>
      </c>
      <c r="D15" s="4">
        <f t="shared" si="1"/>
        <v>1</v>
      </c>
      <c r="E15" s="46"/>
      <c r="F15" s="46"/>
      <c r="G15" s="47"/>
      <c r="H15" s="47"/>
      <c r="I15" s="27" t="s">
        <v>593</v>
      </c>
      <c r="J15" s="51"/>
      <c r="K15" s="51"/>
      <c r="L15" s="52"/>
      <c r="M15" s="51"/>
      <c r="N15" s="83"/>
      <c r="O15" s="28">
        <v>4</v>
      </c>
      <c r="P15" s="34" t="str">
        <f>E12&amp;"."&amp;O15</f>
        <v>8.1.1.4</v>
      </c>
      <c r="Q15" s="28" t="s">
        <v>42</v>
      </c>
      <c r="R15" s="28"/>
      <c r="S15" s="31" t="s">
        <v>43</v>
      </c>
      <c r="T15" s="31" t="s">
        <v>44</v>
      </c>
      <c r="U15" s="28">
        <v>80</v>
      </c>
      <c r="V15" s="28">
        <v>1</v>
      </c>
      <c r="W15" s="28">
        <v>0</v>
      </c>
      <c r="X15" s="28"/>
    </row>
    <row r="16" spans="1:24" ht="20.25" thickTop="1" thickBot="1" x14ac:dyDescent="0.3">
      <c r="A16" s="28">
        <v>8</v>
      </c>
      <c r="B16" s="28">
        <v>1</v>
      </c>
      <c r="C16" s="4">
        <f t="shared" si="0"/>
        <v>2</v>
      </c>
      <c r="D16" s="4">
        <f t="shared" si="1"/>
        <v>2</v>
      </c>
      <c r="E16" s="28" t="str">
        <f t="shared" si="2"/>
        <v>8.1.2</v>
      </c>
      <c r="F16" s="28" t="str">
        <f>P11</f>
        <v>7.1.1.1</v>
      </c>
      <c r="G16" s="29" t="s">
        <v>565</v>
      </c>
      <c r="H16" s="29"/>
      <c r="I16" s="27" t="s">
        <v>593</v>
      </c>
      <c r="J16" s="6" t="s">
        <v>597</v>
      </c>
      <c r="K16" s="31" t="s">
        <v>45</v>
      </c>
      <c r="L16" s="6" t="s">
        <v>597</v>
      </c>
      <c r="M16" s="31"/>
      <c r="N16" s="31" t="s">
        <v>556</v>
      </c>
      <c r="O16" s="28">
        <v>0</v>
      </c>
      <c r="P16" s="34" t="str">
        <f>E16&amp;"."&amp;O16</f>
        <v>8.1.2.0</v>
      </c>
      <c r="Q16" s="28"/>
      <c r="R16" s="28"/>
      <c r="S16" s="6" t="s">
        <v>597</v>
      </c>
      <c r="T16" s="6" t="s">
        <v>597</v>
      </c>
      <c r="U16" s="28"/>
      <c r="V16" s="28">
        <v>0</v>
      </c>
      <c r="W16" s="28">
        <v>0</v>
      </c>
      <c r="X16" s="28"/>
    </row>
    <row r="17" spans="1:24" ht="20.25" thickTop="1" thickBot="1" x14ac:dyDescent="0.3">
      <c r="A17" s="27">
        <v>9</v>
      </c>
      <c r="B17" s="42">
        <v>1</v>
      </c>
      <c r="C17" s="4">
        <f t="shared" si="0"/>
        <v>1</v>
      </c>
      <c r="D17" s="4">
        <f>IF(I17="Nữ",D16,IF(A17&lt;&gt;A16,1,IF(ISBLANK(B17),D16,D16+1)))</f>
        <v>1</v>
      </c>
      <c r="E17" s="48" t="str">
        <f t="shared" si="2"/>
        <v>9.1.1</v>
      </c>
      <c r="F17" s="42" t="str">
        <f>P12</f>
        <v>8.1.1.1</v>
      </c>
      <c r="G17" s="50" t="s">
        <v>566</v>
      </c>
      <c r="H17" s="50" t="s">
        <v>47</v>
      </c>
      <c r="I17" s="27" t="s">
        <v>593</v>
      </c>
      <c r="J17" s="54" t="s">
        <v>48</v>
      </c>
      <c r="K17" s="54" t="s">
        <v>68</v>
      </c>
      <c r="L17" s="53">
        <v>49</v>
      </c>
      <c r="M17" s="54" t="s">
        <v>98</v>
      </c>
      <c r="N17" s="69" t="s">
        <v>554</v>
      </c>
      <c r="O17" s="27">
        <v>1</v>
      </c>
      <c r="P17" s="32" t="str">
        <f>E17&amp;"."&amp;O17</f>
        <v>9.1.1.1</v>
      </c>
      <c r="Q17" s="27" t="s">
        <v>50</v>
      </c>
      <c r="R17" s="27" t="s">
        <v>51</v>
      </c>
      <c r="S17" s="33" t="s">
        <v>52</v>
      </c>
      <c r="T17" s="33" t="s">
        <v>53</v>
      </c>
      <c r="U17" s="27">
        <v>73</v>
      </c>
      <c r="V17" s="27">
        <v>0</v>
      </c>
      <c r="W17" s="27">
        <v>1</v>
      </c>
      <c r="X17" s="27"/>
    </row>
    <row r="18" spans="1:24" ht="20.25" thickTop="1" thickBot="1" x14ac:dyDescent="0.3">
      <c r="A18" s="27">
        <v>9</v>
      </c>
      <c r="B18" s="42"/>
      <c r="C18" s="4">
        <f t="shared" si="0"/>
        <v>1</v>
      </c>
      <c r="D18" s="4">
        <f t="shared" si="1"/>
        <v>1</v>
      </c>
      <c r="E18" s="78"/>
      <c r="F18" s="42"/>
      <c r="G18" s="50"/>
      <c r="H18" s="50"/>
      <c r="I18" s="27" t="s">
        <v>593</v>
      </c>
      <c r="J18" s="54"/>
      <c r="K18" s="54"/>
      <c r="L18" s="53"/>
      <c r="M18" s="54"/>
      <c r="N18" s="84"/>
      <c r="O18" s="27">
        <v>2</v>
      </c>
      <c r="P18" s="32" t="str">
        <f>E17&amp;"."&amp;O18</f>
        <v>9.1.1.2</v>
      </c>
      <c r="Q18" s="27" t="s">
        <v>54</v>
      </c>
      <c r="R18" s="27" t="s">
        <v>55</v>
      </c>
      <c r="S18" s="33" t="s">
        <v>56</v>
      </c>
      <c r="T18" s="33" t="s">
        <v>57</v>
      </c>
      <c r="U18" s="27">
        <v>70</v>
      </c>
      <c r="V18" s="27">
        <v>1</v>
      </c>
      <c r="W18" s="27">
        <v>0</v>
      </c>
      <c r="X18" s="27"/>
    </row>
    <row r="19" spans="1:24" ht="20.25" thickTop="1" thickBot="1" x14ac:dyDescent="0.3">
      <c r="A19" s="27">
        <v>9</v>
      </c>
      <c r="B19" s="42"/>
      <c r="C19" s="4">
        <f t="shared" si="0"/>
        <v>1</v>
      </c>
      <c r="D19" s="4">
        <f t="shared" si="1"/>
        <v>1</v>
      </c>
      <c r="E19" s="49"/>
      <c r="F19" s="42"/>
      <c r="G19" s="50"/>
      <c r="H19" s="50"/>
      <c r="I19" s="27" t="s">
        <v>593</v>
      </c>
      <c r="J19" s="54"/>
      <c r="K19" s="54"/>
      <c r="L19" s="53"/>
      <c r="M19" s="54"/>
      <c r="N19" s="70"/>
      <c r="O19" s="27">
        <v>3</v>
      </c>
      <c r="P19" s="32" t="str">
        <f>E17&amp;"."&amp;O19</f>
        <v>9.1.1.3</v>
      </c>
      <c r="Q19" s="27" t="s">
        <v>58</v>
      </c>
      <c r="R19" s="27" t="s">
        <v>59</v>
      </c>
      <c r="S19" s="6" t="s">
        <v>597</v>
      </c>
      <c r="T19" s="33" t="s">
        <v>60</v>
      </c>
      <c r="U19" s="27">
        <v>73</v>
      </c>
      <c r="V19" s="27">
        <v>1</v>
      </c>
      <c r="W19" s="27">
        <v>0</v>
      </c>
      <c r="X19" s="27"/>
    </row>
    <row r="20" spans="1:24" ht="20.25" thickTop="1" thickBot="1" x14ac:dyDescent="0.3">
      <c r="A20" s="27">
        <v>9</v>
      </c>
      <c r="B20" s="42">
        <v>1</v>
      </c>
      <c r="C20" s="4">
        <f t="shared" si="0"/>
        <v>2</v>
      </c>
      <c r="D20" s="4">
        <f t="shared" si="1"/>
        <v>2</v>
      </c>
      <c r="E20" s="48" t="str">
        <f t="shared" si="2"/>
        <v>9.1.2</v>
      </c>
      <c r="F20" s="42" t="str">
        <f>P13</f>
        <v>8.1.1.2</v>
      </c>
      <c r="G20" s="50" t="s">
        <v>567</v>
      </c>
      <c r="H20" s="50" t="s">
        <v>62</v>
      </c>
      <c r="I20" s="27" t="s">
        <v>593</v>
      </c>
      <c r="J20" s="54" t="s">
        <v>63</v>
      </c>
      <c r="K20" s="54" t="s">
        <v>72</v>
      </c>
      <c r="L20" s="53">
        <v>60</v>
      </c>
      <c r="M20" s="59" t="s">
        <v>64</v>
      </c>
      <c r="N20" s="85" t="s">
        <v>554</v>
      </c>
      <c r="O20" s="27">
        <v>1</v>
      </c>
      <c r="P20" s="32" t="str">
        <f>E20&amp;"."&amp;O20</f>
        <v>9.1.2.1</v>
      </c>
      <c r="Q20" s="27" t="s">
        <v>65</v>
      </c>
      <c r="R20" s="27"/>
      <c r="S20" s="6" t="s">
        <v>597</v>
      </c>
      <c r="T20" s="6" t="s">
        <v>597</v>
      </c>
      <c r="U20" s="27"/>
      <c r="V20" s="27">
        <v>0</v>
      </c>
      <c r="W20" s="27">
        <v>0</v>
      </c>
      <c r="X20" s="27"/>
    </row>
    <row r="21" spans="1:24" ht="20.25" thickTop="1" thickBot="1" x14ac:dyDescent="0.3">
      <c r="A21" s="27">
        <v>9</v>
      </c>
      <c r="B21" s="42"/>
      <c r="C21" s="4">
        <f t="shared" si="0"/>
        <v>2</v>
      </c>
      <c r="D21" s="4">
        <f t="shared" si="1"/>
        <v>2</v>
      </c>
      <c r="E21" s="78"/>
      <c r="F21" s="42"/>
      <c r="G21" s="50"/>
      <c r="H21" s="50"/>
      <c r="I21" s="27" t="s">
        <v>593</v>
      </c>
      <c r="J21" s="54"/>
      <c r="K21" s="54"/>
      <c r="L21" s="53"/>
      <c r="M21" s="59"/>
      <c r="N21" s="86"/>
      <c r="O21" s="27">
        <v>2</v>
      </c>
      <c r="P21" s="32" t="str">
        <f>E20&amp;"."&amp;O21</f>
        <v>9.1.2.2</v>
      </c>
      <c r="Q21" s="27" t="s">
        <v>66</v>
      </c>
      <c r="R21" s="27"/>
      <c r="S21" s="6" t="s">
        <v>597</v>
      </c>
      <c r="T21" s="33" t="s">
        <v>67</v>
      </c>
      <c r="U21" s="27"/>
      <c r="V21" s="27">
        <v>1</v>
      </c>
      <c r="W21" s="27">
        <v>0</v>
      </c>
      <c r="X21" s="27"/>
    </row>
    <row r="22" spans="1:24" ht="20.25" thickTop="1" thickBot="1" x14ac:dyDescent="0.3">
      <c r="A22" s="27">
        <v>9</v>
      </c>
      <c r="B22" s="42"/>
      <c r="C22" s="4">
        <f t="shared" si="0"/>
        <v>2</v>
      </c>
      <c r="D22" s="4">
        <f t="shared" si="1"/>
        <v>2</v>
      </c>
      <c r="E22" s="49"/>
      <c r="F22" s="42"/>
      <c r="G22" s="50"/>
      <c r="H22" s="50"/>
      <c r="I22" s="27" t="s">
        <v>593</v>
      </c>
      <c r="J22" s="54"/>
      <c r="K22" s="54"/>
      <c r="L22" s="53"/>
      <c r="M22" s="59"/>
      <c r="N22" s="87"/>
      <c r="O22" s="27">
        <v>3</v>
      </c>
      <c r="P22" s="32" t="str">
        <f>E20&amp;"."&amp;O22</f>
        <v>9.1.2.3</v>
      </c>
      <c r="Q22" s="27" t="s">
        <v>74</v>
      </c>
      <c r="R22" s="27" t="s">
        <v>75</v>
      </c>
      <c r="S22" s="6" t="s">
        <v>597</v>
      </c>
      <c r="T22" s="33" t="s">
        <v>77</v>
      </c>
      <c r="U22" s="27"/>
      <c r="V22" s="27">
        <v>0</v>
      </c>
      <c r="W22" s="27">
        <v>0</v>
      </c>
      <c r="X22" s="27"/>
    </row>
    <row r="23" spans="1:24" ht="20.25" thickTop="1" thickBot="1" x14ac:dyDescent="0.3">
      <c r="A23" s="27">
        <v>9</v>
      </c>
      <c r="B23" s="27">
        <v>1</v>
      </c>
      <c r="C23" s="4">
        <f t="shared" si="0"/>
        <v>3</v>
      </c>
      <c r="D23" s="4">
        <f t="shared" si="1"/>
        <v>2</v>
      </c>
      <c r="E23" s="27" t="str">
        <f t="shared" si="2"/>
        <v>9.1.3</v>
      </c>
      <c r="F23" s="27" t="str">
        <f>P13</f>
        <v>8.1.1.2</v>
      </c>
      <c r="G23" s="19"/>
      <c r="H23" s="30" t="s">
        <v>492</v>
      </c>
      <c r="I23" s="27" t="s">
        <v>594</v>
      </c>
      <c r="J23" s="6" t="s">
        <v>597</v>
      </c>
      <c r="K23" s="6" t="s">
        <v>597</v>
      </c>
      <c r="L23" s="6" t="s">
        <v>597</v>
      </c>
      <c r="M23" s="33"/>
      <c r="N23" s="33" t="s">
        <v>556</v>
      </c>
      <c r="O23" s="27">
        <v>0</v>
      </c>
      <c r="P23" s="32" t="str">
        <f t="shared" ref="P23:P31" si="3">E23&amp;"."&amp;O23</f>
        <v>9.1.3.0</v>
      </c>
      <c r="Q23" s="27"/>
      <c r="R23" s="27"/>
      <c r="S23" s="6" t="s">
        <v>597</v>
      </c>
      <c r="T23" s="6" t="s">
        <v>597</v>
      </c>
      <c r="U23" s="27"/>
      <c r="V23" s="27">
        <v>0</v>
      </c>
      <c r="W23" s="27">
        <v>0</v>
      </c>
      <c r="X23" s="27" t="s">
        <v>493</v>
      </c>
    </row>
    <row r="24" spans="1:24" ht="20.25" thickTop="1" thickBot="1" x14ac:dyDescent="0.3">
      <c r="A24" s="27">
        <v>9</v>
      </c>
      <c r="B24" s="27">
        <v>1</v>
      </c>
      <c r="C24" s="4">
        <f t="shared" si="0"/>
        <v>4</v>
      </c>
      <c r="D24" s="4">
        <f t="shared" si="1"/>
        <v>3</v>
      </c>
      <c r="E24" s="27" t="str">
        <f t="shared" si="2"/>
        <v>9.1.4</v>
      </c>
      <c r="F24" s="27" t="str">
        <f>P14</f>
        <v>8.1.1.3</v>
      </c>
      <c r="G24" s="30" t="s">
        <v>573</v>
      </c>
      <c r="H24" s="30" t="s">
        <v>78</v>
      </c>
      <c r="I24" s="27" t="s">
        <v>593</v>
      </c>
      <c r="J24" s="6" t="s">
        <v>597</v>
      </c>
      <c r="K24" s="33" t="s">
        <v>79</v>
      </c>
      <c r="L24" s="6" t="s">
        <v>597</v>
      </c>
      <c r="M24" s="33"/>
      <c r="N24" s="33" t="s">
        <v>552</v>
      </c>
      <c r="O24" s="27">
        <v>1</v>
      </c>
      <c r="P24" s="32" t="str">
        <f t="shared" si="3"/>
        <v>9.1.4.1</v>
      </c>
      <c r="Q24" s="27" t="s">
        <v>80</v>
      </c>
      <c r="R24" s="27" t="s">
        <v>81</v>
      </c>
      <c r="S24" s="6" t="s">
        <v>597</v>
      </c>
      <c r="T24" s="6" t="s">
        <v>597</v>
      </c>
      <c r="U24" s="27"/>
      <c r="V24" s="27">
        <v>3</v>
      </c>
      <c r="W24" s="27">
        <v>3</v>
      </c>
      <c r="X24" s="27"/>
    </row>
    <row r="25" spans="1:24" ht="20.25" thickTop="1" thickBot="1" x14ac:dyDescent="0.3">
      <c r="A25" s="27">
        <v>9</v>
      </c>
      <c r="B25" s="27">
        <v>1</v>
      </c>
      <c r="C25" s="4">
        <f t="shared" si="0"/>
        <v>5</v>
      </c>
      <c r="D25" s="4">
        <f t="shared" si="1"/>
        <v>4</v>
      </c>
      <c r="E25" s="27" t="str">
        <f t="shared" si="2"/>
        <v>9.1.5</v>
      </c>
      <c r="F25" s="27" t="str">
        <f>P14</f>
        <v>8.1.1.3</v>
      </c>
      <c r="G25" s="30" t="s">
        <v>568</v>
      </c>
      <c r="H25" s="30" t="s">
        <v>82</v>
      </c>
      <c r="I25" s="27" t="s">
        <v>593</v>
      </c>
      <c r="J25" s="6" t="s">
        <v>597</v>
      </c>
      <c r="K25" s="33" t="s">
        <v>83</v>
      </c>
      <c r="L25" s="32">
        <v>29</v>
      </c>
      <c r="M25" s="33"/>
      <c r="N25" s="33" t="s">
        <v>552</v>
      </c>
      <c r="O25" s="27">
        <v>1</v>
      </c>
      <c r="P25" s="32" t="str">
        <f t="shared" si="3"/>
        <v>9.1.5.1</v>
      </c>
      <c r="Q25" s="27" t="s">
        <v>84</v>
      </c>
      <c r="R25" s="27" t="s">
        <v>85</v>
      </c>
      <c r="S25" s="6" t="s">
        <v>597</v>
      </c>
      <c r="T25" s="33" t="s">
        <v>86</v>
      </c>
      <c r="U25" s="27"/>
      <c r="V25" s="27">
        <v>1</v>
      </c>
      <c r="W25" s="27">
        <v>1</v>
      </c>
      <c r="X25" s="27"/>
    </row>
    <row r="26" spans="1:24" ht="20.25" thickTop="1" thickBot="1" x14ac:dyDescent="0.3">
      <c r="A26" s="27">
        <v>9</v>
      </c>
      <c r="B26" s="27">
        <v>1</v>
      </c>
      <c r="C26" s="4">
        <f t="shared" si="0"/>
        <v>6</v>
      </c>
      <c r="D26" s="4">
        <f t="shared" si="1"/>
        <v>5</v>
      </c>
      <c r="E26" s="27" t="str">
        <f t="shared" si="2"/>
        <v>9.1.6</v>
      </c>
      <c r="F26" s="27" t="str">
        <f>P14</f>
        <v>8.1.1.3</v>
      </c>
      <c r="G26" s="30" t="s">
        <v>569</v>
      </c>
      <c r="H26" s="30" t="s">
        <v>87</v>
      </c>
      <c r="I26" s="27" t="s">
        <v>593</v>
      </c>
      <c r="J26" s="6" t="s">
        <v>597</v>
      </c>
      <c r="K26" s="33" t="s">
        <v>88</v>
      </c>
      <c r="L26" s="6" t="s">
        <v>597</v>
      </c>
      <c r="M26" s="33"/>
      <c r="N26" s="33" t="s">
        <v>552</v>
      </c>
      <c r="O26" s="27">
        <v>1</v>
      </c>
      <c r="P26" s="32" t="str">
        <f t="shared" si="3"/>
        <v>9.1.6.1</v>
      </c>
      <c r="Q26" s="27" t="s">
        <v>89</v>
      </c>
      <c r="R26" s="27" t="s">
        <v>90</v>
      </c>
      <c r="S26" s="6" t="s">
        <v>597</v>
      </c>
      <c r="T26" s="33" t="s">
        <v>91</v>
      </c>
      <c r="U26" s="27"/>
      <c r="V26" s="27">
        <v>0</v>
      </c>
      <c r="W26" s="27">
        <v>1</v>
      </c>
      <c r="X26" s="27"/>
    </row>
    <row r="27" spans="1:24" ht="20.25" thickTop="1" thickBot="1" x14ac:dyDescent="0.3">
      <c r="A27" s="27">
        <v>9</v>
      </c>
      <c r="B27" s="27">
        <v>1</v>
      </c>
      <c r="C27" s="4">
        <f t="shared" si="0"/>
        <v>7</v>
      </c>
      <c r="D27" s="4">
        <f t="shared" si="1"/>
        <v>5</v>
      </c>
      <c r="E27" s="27" t="str">
        <f t="shared" si="2"/>
        <v>9.1.7</v>
      </c>
      <c r="F27" s="27" t="str">
        <f>P14</f>
        <v>8.1.1.3</v>
      </c>
      <c r="G27" s="19"/>
      <c r="H27" s="30" t="s">
        <v>495</v>
      </c>
      <c r="I27" s="27" t="s">
        <v>594</v>
      </c>
      <c r="J27" s="6" t="s">
        <v>597</v>
      </c>
      <c r="K27" s="6" t="s">
        <v>597</v>
      </c>
      <c r="L27" s="6" t="s">
        <v>597</v>
      </c>
      <c r="M27" s="33"/>
      <c r="N27" s="33" t="s">
        <v>556</v>
      </c>
      <c r="O27" s="27">
        <v>0</v>
      </c>
      <c r="P27" s="32" t="str">
        <f t="shared" si="3"/>
        <v>9.1.7.0</v>
      </c>
      <c r="Q27" s="27"/>
      <c r="R27" s="27"/>
      <c r="S27" s="6" t="s">
        <v>597</v>
      </c>
      <c r="T27" s="6" t="s">
        <v>597</v>
      </c>
      <c r="U27" s="27"/>
      <c r="V27" s="27">
        <v>0</v>
      </c>
      <c r="W27" s="27">
        <v>0</v>
      </c>
      <c r="X27" s="27"/>
    </row>
    <row r="28" spans="1:24" ht="20.25" thickTop="1" thickBot="1" x14ac:dyDescent="0.3">
      <c r="A28" s="27">
        <v>9</v>
      </c>
      <c r="B28" s="27">
        <v>1</v>
      </c>
      <c r="C28" s="4">
        <f t="shared" si="0"/>
        <v>8</v>
      </c>
      <c r="D28" s="4">
        <f t="shared" si="1"/>
        <v>5</v>
      </c>
      <c r="E28" s="27" t="str">
        <f t="shared" si="2"/>
        <v>9.1.8</v>
      </c>
      <c r="F28" s="27" t="str">
        <f>P14</f>
        <v>8.1.1.3</v>
      </c>
      <c r="G28" s="27"/>
      <c r="H28" s="30" t="s">
        <v>496</v>
      </c>
      <c r="I28" s="27" t="s">
        <v>594</v>
      </c>
      <c r="J28" s="6" t="s">
        <v>597</v>
      </c>
      <c r="K28" s="6" t="s">
        <v>597</v>
      </c>
      <c r="L28" s="6" t="s">
        <v>597</v>
      </c>
      <c r="M28" s="33"/>
      <c r="N28" s="33" t="s">
        <v>556</v>
      </c>
      <c r="O28" s="27">
        <v>0</v>
      </c>
      <c r="P28" s="32" t="str">
        <f t="shared" si="3"/>
        <v>9.1.8.0</v>
      </c>
      <c r="Q28" s="27"/>
      <c r="R28" s="27"/>
      <c r="S28" s="6" t="s">
        <v>597</v>
      </c>
      <c r="T28" s="6" t="s">
        <v>597</v>
      </c>
      <c r="U28" s="27"/>
      <c r="V28" s="27">
        <v>0</v>
      </c>
      <c r="W28" s="27">
        <v>0</v>
      </c>
      <c r="X28" s="27"/>
    </row>
    <row r="29" spans="1:24" ht="20.25" thickTop="1" thickBot="1" x14ac:dyDescent="0.3">
      <c r="A29" s="27">
        <v>9</v>
      </c>
      <c r="B29" s="27">
        <v>1</v>
      </c>
      <c r="C29" s="4">
        <f t="shared" si="0"/>
        <v>9</v>
      </c>
      <c r="D29" s="4">
        <f>IF(I29="Nữ",IF((A29&lt;&gt;A30),1,D28),IF(A29&lt;&gt;A28,1,IF(ISBLANK(B29),D28,D28+1)))</f>
        <v>6</v>
      </c>
      <c r="E29" s="27" t="str">
        <f t="shared" si="2"/>
        <v>9.1.9</v>
      </c>
      <c r="F29" s="27" t="str">
        <f>P15</f>
        <v>8.1.1.4</v>
      </c>
      <c r="G29" s="30"/>
      <c r="H29" s="30" t="s">
        <v>494</v>
      </c>
      <c r="I29" s="27" t="s">
        <v>593</v>
      </c>
      <c r="J29" s="6" t="s">
        <v>597</v>
      </c>
      <c r="K29" s="33" t="s">
        <v>92</v>
      </c>
      <c r="L29" s="6" t="s">
        <v>597</v>
      </c>
      <c r="M29" s="33" t="s">
        <v>93</v>
      </c>
      <c r="N29" s="33" t="s">
        <v>556</v>
      </c>
      <c r="O29" s="27">
        <v>0</v>
      </c>
      <c r="P29" s="32" t="str">
        <f t="shared" si="3"/>
        <v>9.1.9.0</v>
      </c>
      <c r="Q29" s="27"/>
      <c r="R29" s="27"/>
      <c r="S29" s="6" t="s">
        <v>597</v>
      </c>
      <c r="T29" s="6" t="s">
        <v>597</v>
      </c>
      <c r="U29" s="27"/>
      <c r="V29" s="27">
        <v>0</v>
      </c>
      <c r="W29" s="27">
        <v>0</v>
      </c>
      <c r="X29" s="27"/>
    </row>
    <row r="30" spans="1:24" ht="20.25" thickTop="1" thickBot="1" x14ac:dyDescent="0.3">
      <c r="A30" s="28">
        <v>10</v>
      </c>
      <c r="B30" s="28">
        <v>1</v>
      </c>
      <c r="C30" s="4">
        <f t="shared" si="0"/>
        <v>1</v>
      </c>
      <c r="D30" s="4">
        <f>IF(I30="Nữ",IF((A30&lt;&gt;A29),0,D29),IF(A30&lt;&gt;A29,1,IF(ISBLANK(B30),D29,D29+1)))</f>
        <v>0</v>
      </c>
      <c r="E30" s="28" t="str">
        <f t="shared" si="2"/>
        <v>10.1.1</v>
      </c>
      <c r="F30" s="28" t="str">
        <f>P17</f>
        <v>9.1.1.1</v>
      </c>
      <c r="G30" s="18"/>
      <c r="H30" s="29" t="s">
        <v>497</v>
      </c>
      <c r="I30" s="27" t="s">
        <v>594</v>
      </c>
      <c r="J30" s="6" t="s">
        <v>597</v>
      </c>
      <c r="K30" s="6" t="s">
        <v>597</v>
      </c>
      <c r="L30" s="6" t="s">
        <v>597</v>
      </c>
      <c r="M30" s="31"/>
      <c r="N30" s="31" t="s">
        <v>556</v>
      </c>
      <c r="O30" s="28">
        <v>0</v>
      </c>
      <c r="P30" s="34" t="str">
        <f t="shared" si="3"/>
        <v>10.1.1.0</v>
      </c>
      <c r="Q30" s="28" t="s">
        <v>498</v>
      </c>
      <c r="R30" s="28"/>
      <c r="S30" s="6" t="s">
        <v>597</v>
      </c>
      <c r="T30" s="6" t="s">
        <v>597</v>
      </c>
      <c r="U30" s="28"/>
      <c r="V30" s="28">
        <v>0</v>
      </c>
      <c r="W30" s="28">
        <v>0</v>
      </c>
      <c r="X30" s="28" t="s">
        <v>499</v>
      </c>
    </row>
    <row r="31" spans="1:24" ht="20.25" thickTop="1" thickBot="1" x14ac:dyDescent="0.3">
      <c r="A31" s="28">
        <v>10</v>
      </c>
      <c r="B31" s="43">
        <v>1</v>
      </c>
      <c r="C31" s="4">
        <f t="shared" si="0"/>
        <v>2</v>
      </c>
      <c r="D31" s="4">
        <f t="shared" ref="D31:D70" si="4">IF(I31="Nữ",IF((A31&lt;&gt;A30),0,D30),IF(A31&lt;&gt;A30,1,IF(ISBLANK(B31),D30,D30+1)))</f>
        <v>1</v>
      </c>
      <c r="E31" s="44" t="str">
        <f t="shared" si="2"/>
        <v>10.1.2</v>
      </c>
      <c r="F31" s="43" t="str">
        <f>P18</f>
        <v>9.1.1.2</v>
      </c>
      <c r="G31" s="47" t="s">
        <v>570</v>
      </c>
      <c r="H31" s="47" t="s">
        <v>94</v>
      </c>
      <c r="I31" s="27" t="s">
        <v>593</v>
      </c>
      <c r="J31" s="51" t="s">
        <v>95</v>
      </c>
      <c r="K31" s="51" t="s">
        <v>96</v>
      </c>
      <c r="L31" s="55">
        <v>74</v>
      </c>
      <c r="M31" s="51" t="s">
        <v>97</v>
      </c>
      <c r="N31" s="81" t="s">
        <v>553</v>
      </c>
      <c r="O31" s="28">
        <v>1</v>
      </c>
      <c r="P31" s="34" t="str">
        <f t="shared" si="3"/>
        <v>10.1.2.1</v>
      </c>
      <c r="Q31" s="28" t="s">
        <v>99</v>
      </c>
      <c r="R31" s="28" t="s">
        <v>100</v>
      </c>
      <c r="S31" s="31" t="s">
        <v>101</v>
      </c>
      <c r="T31" s="31" t="s">
        <v>102</v>
      </c>
      <c r="U31" s="28">
        <v>68</v>
      </c>
      <c r="V31" s="28">
        <v>4</v>
      </c>
      <c r="W31" s="28">
        <v>3</v>
      </c>
      <c r="X31" s="28"/>
    </row>
    <row r="32" spans="1:24" ht="20.25" thickTop="1" thickBot="1" x14ac:dyDescent="0.3">
      <c r="A32" s="28">
        <v>10</v>
      </c>
      <c r="B32" s="43"/>
      <c r="C32" s="4">
        <f t="shared" si="0"/>
        <v>2</v>
      </c>
      <c r="D32" s="4">
        <f t="shared" si="4"/>
        <v>1</v>
      </c>
      <c r="E32" s="46"/>
      <c r="F32" s="43"/>
      <c r="G32" s="47"/>
      <c r="H32" s="47"/>
      <c r="I32" s="27" t="s">
        <v>593</v>
      </c>
      <c r="J32" s="51"/>
      <c r="K32" s="51"/>
      <c r="L32" s="55"/>
      <c r="M32" s="51"/>
      <c r="N32" s="83"/>
      <c r="O32" s="28">
        <v>2</v>
      </c>
      <c r="P32" s="34" t="str">
        <f>E31&amp;"."&amp;O32</f>
        <v>10.1.2.2</v>
      </c>
      <c r="Q32" s="28" t="s">
        <v>103</v>
      </c>
      <c r="R32" s="28" t="s">
        <v>104</v>
      </c>
      <c r="S32" s="31" t="s">
        <v>105</v>
      </c>
      <c r="T32" s="31" t="s">
        <v>106</v>
      </c>
      <c r="U32" s="28">
        <v>89</v>
      </c>
      <c r="V32" s="28">
        <v>1</v>
      </c>
      <c r="W32" s="28">
        <v>1</v>
      </c>
      <c r="X32" s="28"/>
    </row>
    <row r="33" spans="1:24" ht="20.25" thickTop="1" thickBot="1" x14ac:dyDescent="0.3">
      <c r="A33" s="28">
        <v>10</v>
      </c>
      <c r="B33" s="43">
        <v>1</v>
      </c>
      <c r="C33" s="4">
        <f t="shared" si="0"/>
        <v>3</v>
      </c>
      <c r="D33" s="4">
        <f t="shared" si="4"/>
        <v>2</v>
      </c>
      <c r="E33" s="44" t="str">
        <f t="shared" si="2"/>
        <v>10.1.3</v>
      </c>
      <c r="F33" s="43" t="str">
        <f>P19</f>
        <v>9.1.1.3</v>
      </c>
      <c r="G33" s="47"/>
      <c r="H33" s="58" t="s">
        <v>500</v>
      </c>
      <c r="I33" s="27" t="s">
        <v>593</v>
      </c>
      <c r="J33" s="51" t="s">
        <v>107</v>
      </c>
      <c r="K33" s="51" t="s">
        <v>109</v>
      </c>
      <c r="L33" s="55">
        <v>61</v>
      </c>
      <c r="M33" s="51"/>
      <c r="N33" s="81" t="s">
        <v>553</v>
      </c>
      <c r="O33" s="28">
        <v>1</v>
      </c>
      <c r="P33" s="34" t="str">
        <f>E33&amp;"."&amp;O33</f>
        <v>10.1.3.1</v>
      </c>
      <c r="Q33" s="28" t="s">
        <v>110</v>
      </c>
      <c r="R33" s="28"/>
      <c r="S33" s="6" t="s">
        <v>597</v>
      </c>
      <c r="T33" s="31" t="s">
        <v>113</v>
      </c>
      <c r="U33" s="28"/>
      <c r="V33" s="28">
        <v>0</v>
      </c>
      <c r="W33" s="28">
        <v>1</v>
      </c>
      <c r="X33" s="28"/>
    </row>
    <row r="34" spans="1:24" ht="20.25" thickTop="1" thickBot="1" x14ac:dyDescent="0.3">
      <c r="A34" s="28">
        <v>10</v>
      </c>
      <c r="B34" s="43"/>
      <c r="C34" s="4">
        <f t="shared" si="0"/>
        <v>3</v>
      </c>
      <c r="D34" s="4">
        <f t="shared" si="4"/>
        <v>2</v>
      </c>
      <c r="E34" s="46"/>
      <c r="F34" s="43"/>
      <c r="G34" s="47"/>
      <c r="H34" s="58"/>
      <c r="I34" s="27" t="s">
        <v>593</v>
      </c>
      <c r="J34" s="51"/>
      <c r="K34" s="51"/>
      <c r="L34" s="55"/>
      <c r="M34" s="51"/>
      <c r="N34" s="83"/>
      <c r="O34" s="28">
        <v>2</v>
      </c>
      <c r="P34" s="34" t="str">
        <f>E33&amp;"."&amp;O34</f>
        <v>10.1.3.2</v>
      </c>
      <c r="Q34" s="28" t="s">
        <v>111</v>
      </c>
      <c r="R34" s="28"/>
      <c r="S34" s="6" t="s">
        <v>597</v>
      </c>
      <c r="T34" s="31" t="s">
        <v>112</v>
      </c>
      <c r="U34" s="28"/>
      <c r="V34" s="28">
        <v>2</v>
      </c>
      <c r="W34" s="28">
        <v>1</v>
      </c>
      <c r="X34" s="28"/>
    </row>
    <row r="35" spans="1:24" ht="20.25" thickTop="1" thickBot="1" x14ac:dyDescent="0.3">
      <c r="A35" s="28">
        <v>10</v>
      </c>
      <c r="B35" s="43">
        <v>1</v>
      </c>
      <c r="C35" s="4">
        <f t="shared" si="0"/>
        <v>4</v>
      </c>
      <c r="D35" s="4">
        <f t="shared" si="4"/>
        <v>3</v>
      </c>
      <c r="E35" s="44" t="str">
        <f t="shared" si="2"/>
        <v>10.1.4</v>
      </c>
      <c r="F35" s="43" t="str">
        <f>P21</f>
        <v>9.1.2.2</v>
      </c>
      <c r="G35" s="47" t="s">
        <v>571</v>
      </c>
      <c r="H35" s="47" t="s">
        <v>509</v>
      </c>
      <c r="I35" s="27" t="s">
        <v>593</v>
      </c>
      <c r="J35" s="51" t="s">
        <v>597</v>
      </c>
      <c r="K35" s="51" t="s">
        <v>114</v>
      </c>
      <c r="L35" s="55">
        <v>40</v>
      </c>
      <c r="M35" s="51"/>
      <c r="N35" s="88" t="s">
        <v>553</v>
      </c>
      <c r="O35" s="28">
        <v>1</v>
      </c>
      <c r="P35" s="34" t="str">
        <f>E35&amp;"."&amp;O35</f>
        <v>10.1.4.1</v>
      </c>
      <c r="Q35" s="28" t="s">
        <v>115</v>
      </c>
      <c r="R35" s="28" t="s">
        <v>116</v>
      </c>
      <c r="S35" s="6" t="s">
        <v>597</v>
      </c>
      <c r="T35" s="31" t="s">
        <v>117</v>
      </c>
      <c r="U35" s="28"/>
      <c r="V35" s="28">
        <v>1</v>
      </c>
      <c r="W35" s="28">
        <v>2</v>
      </c>
      <c r="X35" s="28"/>
    </row>
    <row r="36" spans="1:24" ht="20.25" thickTop="1" thickBot="1" x14ac:dyDescent="0.3">
      <c r="A36" s="28">
        <v>10</v>
      </c>
      <c r="B36" s="43"/>
      <c r="C36" s="4">
        <f t="shared" si="0"/>
        <v>4</v>
      </c>
      <c r="D36" s="4">
        <f t="shared" si="4"/>
        <v>3</v>
      </c>
      <c r="E36" s="46"/>
      <c r="F36" s="43"/>
      <c r="G36" s="47"/>
      <c r="H36" s="47"/>
      <c r="I36" s="27" t="s">
        <v>593</v>
      </c>
      <c r="J36" s="51"/>
      <c r="K36" s="51"/>
      <c r="L36" s="55"/>
      <c r="M36" s="51"/>
      <c r="N36" s="89"/>
      <c r="O36" s="28">
        <v>2</v>
      </c>
      <c r="P36" s="34" t="str">
        <f>E35&amp;"."&amp;O36</f>
        <v>10.1.4.2</v>
      </c>
      <c r="Q36" s="28" t="s">
        <v>118</v>
      </c>
      <c r="R36" s="28" t="s">
        <v>119</v>
      </c>
      <c r="S36" s="6" t="s">
        <v>597</v>
      </c>
      <c r="T36" s="31" t="s">
        <v>120</v>
      </c>
      <c r="U36" s="28"/>
      <c r="V36" s="28">
        <v>4</v>
      </c>
      <c r="W36" s="28">
        <v>0</v>
      </c>
      <c r="X36" s="28"/>
    </row>
    <row r="37" spans="1:24" ht="20.25" thickTop="1" thickBot="1" x14ac:dyDescent="0.3">
      <c r="A37" s="28">
        <v>10</v>
      </c>
      <c r="B37" s="28">
        <v>1</v>
      </c>
      <c r="C37" s="4">
        <f t="shared" si="0"/>
        <v>5</v>
      </c>
      <c r="D37" s="4">
        <f>IF(I37="Nữ",IF((A37&lt;&gt;A36),0,D36),IF(A37&lt;&gt;A36,1,IF(ISBLANK(B37),D36,D36+1)))</f>
        <v>4</v>
      </c>
      <c r="E37" s="28" t="str">
        <f t="shared" si="2"/>
        <v>10.1.5</v>
      </c>
      <c r="F37" s="28" t="str">
        <f>P24</f>
        <v>9.1.4.1</v>
      </c>
      <c r="G37" s="29" t="s">
        <v>572</v>
      </c>
      <c r="H37" s="29" t="s">
        <v>501</v>
      </c>
      <c r="I37" s="27" t="s">
        <v>593</v>
      </c>
      <c r="J37" s="6" t="s">
        <v>597</v>
      </c>
      <c r="K37" s="31" t="s">
        <v>125</v>
      </c>
      <c r="L37" s="34">
        <v>63</v>
      </c>
      <c r="M37" s="31"/>
      <c r="N37" s="31" t="s">
        <v>552</v>
      </c>
      <c r="O37" s="28">
        <v>1</v>
      </c>
      <c r="P37" s="34" t="str">
        <f t="shared" ref="P37:P47" si="5">E37&amp;"."&amp;O37</f>
        <v>10.1.5.1</v>
      </c>
      <c r="Q37" s="28" t="s">
        <v>126</v>
      </c>
      <c r="R37" s="28" t="s">
        <v>127</v>
      </c>
      <c r="S37" s="6" t="s">
        <v>597</v>
      </c>
      <c r="T37" s="31" t="s">
        <v>128</v>
      </c>
      <c r="U37" s="28">
        <v>73</v>
      </c>
      <c r="V37" s="28">
        <v>1</v>
      </c>
      <c r="W37" s="28">
        <v>1</v>
      </c>
      <c r="X37" s="28"/>
    </row>
    <row r="38" spans="1:24" ht="20.25" thickTop="1" thickBot="1" x14ac:dyDescent="0.3">
      <c r="A38" s="28">
        <v>10</v>
      </c>
      <c r="B38" s="28">
        <v>1</v>
      </c>
      <c r="C38" s="4">
        <f t="shared" si="0"/>
        <v>6</v>
      </c>
      <c r="D38" s="4">
        <f t="shared" si="4"/>
        <v>5</v>
      </c>
      <c r="E38" s="28" t="str">
        <f t="shared" si="2"/>
        <v>10.1.6</v>
      </c>
      <c r="F38" s="28" t="str">
        <f>P24</f>
        <v>9.1.4.1</v>
      </c>
      <c r="G38" s="29"/>
      <c r="H38" s="29" t="s">
        <v>502</v>
      </c>
      <c r="I38" s="27" t="s">
        <v>593</v>
      </c>
      <c r="J38" s="6" t="s">
        <v>597</v>
      </c>
      <c r="K38" s="31"/>
      <c r="L38" s="6" t="s">
        <v>597</v>
      </c>
      <c r="M38" s="31" t="s">
        <v>129</v>
      </c>
      <c r="N38" s="31" t="s">
        <v>556</v>
      </c>
      <c r="O38" s="28">
        <v>0</v>
      </c>
      <c r="P38" s="34" t="str">
        <f t="shared" si="5"/>
        <v>10.1.6.0</v>
      </c>
      <c r="Q38" s="28"/>
      <c r="R38" s="28"/>
      <c r="S38" s="6" t="s">
        <v>597</v>
      </c>
      <c r="T38" s="6" t="s">
        <v>597</v>
      </c>
      <c r="U38" s="28"/>
      <c r="V38" s="28">
        <v>0</v>
      </c>
      <c r="W38" s="28">
        <v>0</v>
      </c>
      <c r="X38" s="28"/>
    </row>
    <row r="39" spans="1:24" ht="20.25" thickTop="1" thickBot="1" x14ac:dyDescent="0.3">
      <c r="A39" s="28">
        <v>10</v>
      </c>
      <c r="B39" s="28">
        <v>1</v>
      </c>
      <c r="C39" s="4">
        <f t="shared" si="0"/>
        <v>7</v>
      </c>
      <c r="D39" s="4">
        <f t="shared" si="4"/>
        <v>6</v>
      </c>
      <c r="E39" s="28" t="str">
        <f t="shared" si="2"/>
        <v>10.1.7</v>
      </c>
      <c r="F39" s="28" t="str">
        <f>P24</f>
        <v>9.1.4.1</v>
      </c>
      <c r="G39" s="29" t="s">
        <v>574</v>
      </c>
      <c r="H39" s="29" t="s">
        <v>503</v>
      </c>
      <c r="I39" s="27" t="s">
        <v>593</v>
      </c>
      <c r="J39" s="6" t="s">
        <v>597</v>
      </c>
      <c r="K39" s="31" t="s">
        <v>130</v>
      </c>
      <c r="L39" s="34">
        <v>59</v>
      </c>
      <c r="M39" s="31"/>
      <c r="N39" s="31" t="s">
        <v>556</v>
      </c>
      <c r="O39" s="28">
        <v>0</v>
      </c>
      <c r="P39" s="34" t="str">
        <f t="shared" si="5"/>
        <v>10.1.7.0</v>
      </c>
      <c r="Q39" s="28"/>
      <c r="R39" s="28"/>
      <c r="S39" s="6" t="s">
        <v>597</v>
      </c>
      <c r="T39" s="6" t="s">
        <v>597</v>
      </c>
      <c r="U39" s="28"/>
      <c r="V39" s="28">
        <v>0</v>
      </c>
      <c r="W39" s="28">
        <v>0</v>
      </c>
      <c r="X39" s="28"/>
    </row>
    <row r="40" spans="1:24" ht="20.25" thickTop="1" thickBot="1" x14ac:dyDescent="0.3">
      <c r="A40" s="28">
        <v>10</v>
      </c>
      <c r="B40" s="28">
        <v>1</v>
      </c>
      <c r="C40" s="4">
        <f t="shared" si="0"/>
        <v>8</v>
      </c>
      <c r="D40" s="4">
        <f t="shared" si="4"/>
        <v>6</v>
      </c>
      <c r="E40" s="28" t="str">
        <f t="shared" si="2"/>
        <v>10.1.8</v>
      </c>
      <c r="F40" s="28" t="str">
        <f>P24</f>
        <v>9.1.4.1</v>
      </c>
      <c r="G40" s="29"/>
      <c r="H40" s="29" t="s">
        <v>504</v>
      </c>
      <c r="I40" s="27" t="s">
        <v>594</v>
      </c>
      <c r="J40" s="6" t="s">
        <v>597</v>
      </c>
      <c r="K40" s="6" t="s">
        <v>597</v>
      </c>
      <c r="L40" s="6" t="s">
        <v>597</v>
      </c>
      <c r="M40" s="31"/>
      <c r="N40" s="31" t="s">
        <v>556</v>
      </c>
      <c r="O40" s="28">
        <v>0</v>
      </c>
      <c r="P40" s="34" t="str">
        <f t="shared" si="5"/>
        <v>10.1.8.0</v>
      </c>
      <c r="Q40" s="28"/>
      <c r="R40" s="28"/>
      <c r="S40" s="6" t="s">
        <v>597</v>
      </c>
      <c r="T40" s="6" t="s">
        <v>597</v>
      </c>
      <c r="U40" s="28"/>
      <c r="V40" s="28">
        <v>0</v>
      </c>
      <c r="W40" s="28">
        <v>0</v>
      </c>
      <c r="X40" s="28"/>
    </row>
    <row r="41" spans="1:24" ht="20.25" thickTop="1" thickBot="1" x14ac:dyDescent="0.3">
      <c r="A41" s="28">
        <v>10</v>
      </c>
      <c r="B41" s="28">
        <v>1</v>
      </c>
      <c r="C41" s="4">
        <f t="shared" si="0"/>
        <v>9</v>
      </c>
      <c r="D41" s="4">
        <f t="shared" si="4"/>
        <v>6</v>
      </c>
      <c r="E41" s="28" t="str">
        <f t="shared" si="2"/>
        <v>10.1.9</v>
      </c>
      <c r="F41" s="28" t="str">
        <f>P24</f>
        <v>9.1.4.1</v>
      </c>
      <c r="G41" s="29"/>
      <c r="H41" s="29" t="s">
        <v>505</v>
      </c>
      <c r="I41" s="27" t="s">
        <v>594</v>
      </c>
      <c r="J41" s="6" t="s">
        <v>597</v>
      </c>
      <c r="K41" s="6" t="s">
        <v>597</v>
      </c>
      <c r="L41" s="6" t="s">
        <v>597</v>
      </c>
      <c r="M41" s="31"/>
      <c r="N41" s="31" t="s">
        <v>556</v>
      </c>
      <c r="O41" s="28">
        <v>0</v>
      </c>
      <c r="P41" s="34" t="str">
        <f t="shared" si="5"/>
        <v>10.1.9.0</v>
      </c>
      <c r="Q41" s="28"/>
      <c r="R41" s="28"/>
      <c r="S41" s="6" t="s">
        <v>597</v>
      </c>
      <c r="T41" s="6" t="s">
        <v>597</v>
      </c>
      <c r="U41" s="28"/>
      <c r="V41" s="28">
        <v>0</v>
      </c>
      <c r="W41" s="28">
        <v>0</v>
      </c>
      <c r="X41" s="28"/>
    </row>
    <row r="42" spans="1:24" ht="20.25" thickTop="1" thickBot="1" x14ac:dyDescent="0.3">
      <c r="A42" s="28">
        <v>10</v>
      </c>
      <c r="B42" s="28">
        <v>1</v>
      </c>
      <c r="C42" s="4">
        <f t="shared" si="0"/>
        <v>10</v>
      </c>
      <c r="D42" s="4">
        <f t="shared" si="4"/>
        <v>6</v>
      </c>
      <c r="E42" s="28" t="str">
        <f t="shared" si="2"/>
        <v>10.1.10</v>
      </c>
      <c r="F42" s="28" t="str">
        <f>P24</f>
        <v>9.1.4.1</v>
      </c>
      <c r="G42" s="29"/>
      <c r="H42" s="29" t="s">
        <v>451</v>
      </c>
      <c r="I42" s="27" t="s">
        <v>594</v>
      </c>
      <c r="J42" s="6" t="s">
        <v>597</v>
      </c>
      <c r="K42" s="6" t="s">
        <v>597</v>
      </c>
      <c r="L42" s="6" t="s">
        <v>597</v>
      </c>
      <c r="M42" s="31"/>
      <c r="N42" s="31" t="s">
        <v>556</v>
      </c>
      <c r="O42" s="28">
        <v>0</v>
      </c>
      <c r="P42" s="34" t="str">
        <f t="shared" si="5"/>
        <v>10.1.10.0</v>
      </c>
      <c r="Q42" s="28"/>
      <c r="R42" s="28"/>
      <c r="S42" s="6" t="s">
        <v>597</v>
      </c>
      <c r="T42" s="6" t="s">
        <v>597</v>
      </c>
      <c r="U42" s="28"/>
      <c r="V42" s="28">
        <v>0</v>
      </c>
      <c r="W42" s="28">
        <v>0</v>
      </c>
      <c r="X42" s="28"/>
    </row>
    <row r="43" spans="1:24" ht="20.25" thickTop="1" thickBot="1" x14ac:dyDescent="0.3">
      <c r="A43" s="28">
        <v>10</v>
      </c>
      <c r="B43" s="28">
        <v>1</v>
      </c>
      <c r="C43" s="4">
        <f t="shared" si="0"/>
        <v>11</v>
      </c>
      <c r="D43" s="4">
        <f t="shared" si="4"/>
        <v>7</v>
      </c>
      <c r="E43" s="28" t="str">
        <f t="shared" si="2"/>
        <v>10.1.11</v>
      </c>
      <c r="F43" s="28" t="str">
        <f>P25</f>
        <v>9.1.5.1</v>
      </c>
      <c r="G43" s="29" t="s">
        <v>575</v>
      </c>
      <c r="H43" s="29" t="s">
        <v>507</v>
      </c>
      <c r="I43" s="27" t="s">
        <v>593</v>
      </c>
      <c r="J43" s="6" t="s">
        <v>597</v>
      </c>
      <c r="K43" s="31" t="s">
        <v>131</v>
      </c>
      <c r="L43" s="6" t="s">
        <v>597</v>
      </c>
      <c r="M43" s="31"/>
      <c r="N43" s="31" t="s">
        <v>552</v>
      </c>
      <c r="O43" s="28">
        <v>1</v>
      </c>
      <c r="P43" s="34" t="str">
        <f t="shared" si="5"/>
        <v>10.1.11.1</v>
      </c>
      <c r="Q43" s="28" t="s">
        <v>132</v>
      </c>
      <c r="R43" s="28"/>
      <c r="S43" s="6" t="s">
        <v>597</v>
      </c>
      <c r="T43" s="31" t="s">
        <v>133</v>
      </c>
      <c r="U43" s="28"/>
      <c r="V43" s="28">
        <v>2</v>
      </c>
      <c r="W43" s="28">
        <v>3</v>
      </c>
      <c r="X43" s="28"/>
    </row>
    <row r="44" spans="1:24" ht="20.25" thickTop="1" thickBot="1" x14ac:dyDescent="0.3">
      <c r="A44" s="28">
        <v>10</v>
      </c>
      <c r="B44" s="28">
        <v>1</v>
      </c>
      <c r="C44" s="4">
        <f t="shared" si="0"/>
        <v>12</v>
      </c>
      <c r="D44" s="4">
        <f>IF(I44="Nữ",IF((A44&lt;&gt;A43),0,D43),IF(A44&lt;&gt;A43,1,IF(ISBLANK(B44),D43,D43+1)))</f>
        <v>7</v>
      </c>
      <c r="E44" s="28" t="str">
        <f t="shared" si="2"/>
        <v>10.1.12</v>
      </c>
      <c r="F44" s="28" t="str">
        <f>P25</f>
        <v>9.1.5.1</v>
      </c>
      <c r="G44" s="29"/>
      <c r="H44" s="29" t="s">
        <v>506</v>
      </c>
      <c r="I44" s="27" t="s">
        <v>594</v>
      </c>
      <c r="J44" s="6" t="s">
        <v>597</v>
      </c>
      <c r="K44" s="6" t="s">
        <v>597</v>
      </c>
      <c r="L44" s="6" t="s">
        <v>597</v>
      </c>
      <c r="M44" s="31"/>
      <c r="N44" s="31" t="s">
        <v>556</v>
      </c>
      <c r="O44" s="28">
        <v>0</v>
      </c>
      <c r="P44" s="34" t="str">
        <f t="shared" si="5"/>
        <v>10.1.12.0</v>
      </c>
      <c r="Q44" s="28"/>
      <c r="R44" s="28"/>
      <c r="S44" s="6" t="s">
        <v>597</v>
      </c>
      <c r="T44" s="6" t="s">
        <v>597</v>
      </c>
      <c r="U44" s="28"/>
      <c r="V44" s="28">
        <v>0</v>
      </c>
      <c r="W44" s="28">
        <v>0</v>
      </c>
      <c r="X44" s="28"/>
    </row>
    <row r="45" spans="1:24" ht="20.25" thickTop="1" thickBot="1" x14ac:dyDescent="0.3">
      <c r="A45" s="28">
        <v>10</v>
      </c>
      <c r="B45" s="28">
        <v>1</v>
      </c>
      <c r="C45" s="4">
        <f t="shared" si="0"/>
        <v>13</v>
      </c>
      <c r="D45" s="4">
        <f t="shared" si="4"/>
        <v>7</v>
      </c>
      <c r="E45" s="28" t="str">
        <f t="shared" si="2"/>
        <v>10.1.13</v>
      </c>
      <c r="F45" s="28" t="str">
        <f>P26</f>
        <v>9.1.6.1</v>
      </c>
      <c r="G45" s="29"/>
      <c r="H45" s="29" t="s">
        <v>506</v>
      </c>
      <c r="I45" s="27" t="s">
        <v>594</v>
      </c>
      <c r="J45" s="6" t="s">
        <v>597</v>
      </c>
      <c r="K45" s="6" t="s">
        <v>597</v>
      </c>
      <c r="L45" s="6" t="s">
        <v>597</v>
      </c>
      <c r="M45" s="31"/>
      <c r="N45" s="31" t="s">
        <v>556</v>
      </c>
      <c r="O45" s="28">
        <v>0</v>
      </c>
      <c r="P45" s="34" t="str">
        <f t="shared" si="5"/>
        <v>10.1.13.0</v>
      </c>
      <c r="Q45" s="28"/>
      <c r="R45" s="28"/>
      <c r="S45" s="6" t="s">
        <v>597</v>
      </c>
      <c r="T45" s="6" t="s">
        <v>597</v>
      </c>
      <c r="U45" s="28"/>
      <c r="V45" s="28">
        <v>0</v>
      </c>
      <c r="W45" s="28">
        <v>0</v>
      </c>
      <c r="X45" s="28"/>
    </row>
    <row r="46" spans="1:24" ht="20.25" thickTop="1" thickBot="1" x14ac:dyDescent="0.3">
      <c r="A46" s="27">
        <v>11</v>
      </c>
      <c r="B46" s="27">
        <v>1</v>
      </c>
      <c r="C46" s="4">
        <f t="shared" si="0"/>
        <v>1</v>
      </c>
      <c r="D46" s="4">
        <f>IF(I46="Nữ",IF((A46&lt;&gt;A45),0,D45),IF(A46&lt;&gt;A45,1,IF(ISBLANK(B46),D45,D45+1)))</f>
        <v>1</v>
      </c>
      <c r="E46" s="27" t="str">
        <f t="shared" si="2"/>
        <v>11.1.1</v>
      </c>
      <c r="F46" s="27" t="str">
        <f>P31</f>
        <v>10.1.2.1</v>
      </c>
      <c r="G46" s="30" t="s">
        <v>576</v>
      </c>
      <c r="H46" s="30" t="s">
        <v>510</v>
      </c>
      <c r="I46" s="27" t="s">
        <v>593</v>
      </c>
      <c r="J46" s="33" t="s">
        <v>134</v>
      </c>
      <c r="K46" s="33" t="s">
        <v>598</v>
      </c>
      <c r="L46" s="33" t="s">
        <v>135</v>
      </c>
      <c r="M46" s="33"/>
      <c r="N46" s="33" t="s">
        <v>552</v>
      </c>
      <c r="O46" s="27">
        <v>1</v>
      </c>
      <c r="P46" s="32" t="str">
        <f t="shared" si="5"/>
        <v>11.1.1.1</v>
      </c>
      <c r="Q46" s="27" t="s">
        <v>136</v>
      </c>
      <c r="R46" s="27" t="s">
        <v>137</v>
      </c>
      <c r="S46" s="33" t="s">
        <v>138</v>
      </c>
      <c r="T46" s="33" t="s">
        <v>139</v>
      </c>
      <c r="U46" s="27"/>
      <c r="V46" s="27">
        <v>4</v>
      </c>
      <c r="W46" s="27">
        <v>4</v>
      </c>
      <c r="X46" s="27"/>
    </row>
    <row r="47" spans="1:24" ht="20.25" thickTop="1" thickBot="1" x14ac:dyDescent="0.3">
      <c r="A47" s="27">
        <v>11</v>
      </c>
      <c r="B47" s="42">
        <v>1</v>
      </c>
      <c r="C47" s="4">
        <f t="shared" si="0"/>
        <v>2</v>
      </c>
      <c r="D47" s="4">
        <f t="shared" si="4"/>
        <v>2</v>
      </c>
      <c r="E47" s="48" t="str">
        <f t="shared" si="2"/>
        <v>11.1.2</v>
      </c>
      <c r="F47" s="42" t="str">
        <f>P31</f>
        <v>10.1.2.1</v>
      </c>
      <c r="G47" s="50"/>
      <c r="H47" s="50" t="s">
        <v>511</v>
      </c>
      <c r="I47" s="27" t="s">
        <v>593</v>
      </c>
      <c r="J47" s="54" t="s">
        <v>140</v>
      </c>
      <c r="K47" s="54" t="s">
        <v>141</v>
      </c>
      <c r="L47" s="54" t="s">
        <v>142</v>
      </c>
      <c r="M47" s="54" t="s">
        <v>97</v>
      </c>
      <c r="N47" s="69" t="s">
        <v>553</v>
      </c>
      <c r="O47" s="27">
        <v>1</v>
      </c>
      <c r="P47" s="32" t="str">
        <f t="shared" si="5"/>
        <v>11.1.2.1</v>
      </c>
      <c r="Q47" s="27" t="s">
        <v>143</v>
      </c>
      <c r="R47" s="27" t="s">
        <v>144</v>
      </c>
      <c r="S47" s="33" t="s">
        <v>145</v>
      </c>
      <c r="T47" s="33" t="s">
        <v>146</v>
      </c>
      <c r="U47" s="27">
        <v>54</v>
      </c>
      <c r="V47" s="27">
        <v>2</v>
      </c>
      <c r="W47" s="27">
        <v>2</v>
      </c>
      <c r="X47" s="27"/>
    </row>
    <row r="48" spans="1:24" ht="20.25" thickTop="1" thickBot="1" x14ac:dyDescent="0.3">
      <c r="A48" s="27">
        <v>11</v>
      </c>
      <c r="B48" s="42"/>
      <c r="C48" s="4">
        <f t="shared" si="0"/>
        <v>2</v>
      </c>
      <c r="D48" s="4">
        <f t="shared" si="4"/>
        <v>2</v>
      </c>
      <c r="E48" s="49"/>
      <c r="F48" s="42"/>
      <c r="G48" s="50"/>
      <c r="H48" s="50"/>
      <c r="I48" s="27" t="s">
        <v>593</v>
      </c>
      <c r="J48" s="54"/>
      <c r="K48" s="54"/>
      <c r="L48" s="54"/>
      <c r="M48" s="54"/>
      <c r="N48" s="70"/>
      <c r="O48" s="27">
        <v>2</v>
      </c>
      <c r="P48" s="32" t="str">
        <f>E47&amp;"."&amp;O48</f>
        <v>11.1.2.2</v>
      </c>
      <c r="Q48" s="27" t="s">
        <v>147</v>
      </c>
      <c r="R48" s="27"/>
      <c r="S48" s="33" t="s">
        <v>149</v>
      </c>
      <c r="T48" s="33" t="s">
        <v>148</v>
      </c>
      <c r="U48" s="27">
        <v>38</v>
      </c>
      <c r="V48" s="27">
        <v>1</v>
      </c>
      <c r="W48" s="27">
        <v>2</v>
      </c>
      <c r="X48" s="27"/>
    </row>
    <row r="49" spans="1:24" ht="20.25" thickTop="1" thickBot="1" x14ac:dyDescent="0.3">
      <c r="A49" s="27">
        <v>11</v>
      </c>
      <c r="B49" s="27">
        <v>1</v>
      </c>
      <c r="C49" s="4">
        <f t="shared" si="0"/>
        <v>3</v>
      </c>
      <c r="D49" s="4">
        <f t="shared" si="4"/>
        <v>3</v>
      </c>
      <c r="E49" s="27" t="str">
        <f t="shared" si="2"/>
        <v>11.1.3</v>
      </c>
      <c r="F49" s="27" t="str">
        <f>P31</f>
        <v>10.1.2.1</v>
      </c>
      <c r="G49" s="30" t="s">
        <v>577</v>
      </c>
      <c r="H49" s="30" t="s">
        <v>512</v>
      </c>
      <c r="I49" s="27" t="s">
        <v>593</v>
      </c>
      <c r="J49" s="33" t="s">
        <v>150</v>
      </c>
      <c r="K49" s="33" t="s">
        <v>153</v>
      </c>
      <c r="L49" s="33" t="s">
        <v>152</v>
      </c>
      <c r="M49" s="33"/>
      <c r="N49" s="33" t="s">
        <v>552</v>
      </c>
      <c r="O49" s="27">
        <v>1</v>
      </c>
      <c r="P49" s="32" t="str">
        <f t="shared" ref="P49:P54" si="6">E49&amp;"."&amp;O49</f>
        <v>11.1.3.1</v>
      </c>
      <c r="Q49" s="27" t="s">
        <v>154</v>
      </c>
      <c r="R49" s="27"/>
      <c r="S49" s="6" t="s">
        <v>597</v>
      </c>
      <c r="T49" s="33" t="s">
        <v>155</v>
      </c>
      <c r="U49" s="27"/>
      <c r="V49" s="27">
        <v>1</v>
      </c>
      <c r="W49" s="27">
        <v>0</v>
      </c>
      <c r="X49" s="27"/>
    </row>
    <row r="50" spans="1:24" ht="20.25" thickTop="1" thickBot="1" x14ac:dyDescent="0.3">
      <c r="A50" s="27">
        <v>11</v>
      </c>
      <c r="B50" s="27">
        <v>1</v>
      </c>
      <c r="C50" s="4">
        <f t="shared" si="0"/>
        <v>4</v>
      </c>
      <c r="D50" s="4">
        <f t="shared" si="4"/>
        <v>4</v>
      </c>
      <c r="E50" s="27" t="str">
        <f t="shared" si="2"/>
        <v>11.1.4</v>
      </c>
      <c r="F50" s="27" t="str">
        <f>P31</f>
        <v>10.1.2.1</v>
      </c>
      <c r="G50" s="30" t="s">
        <v>578</v>
      </c>
      <c r="H50" s="30" t="s">
        <v>513</v>
      </c>
      <c r="I50" s="27" t="s">
        <v>593</v>
      </c>
      <c r="J50" s="33" t="s">
        <v>156</v>
      </c>
      <c r="K50" s="33" t="s">
        <v>160</v>
      </c>
      <c r="L50" s="33" t="s">
        <v>159</v>
      </c>
      <c r="M50" s="33" t="s">
        <v>158</v>
      </c>
      <c r="N50" s="33" t="s">
        <v>552</v>
      </c>
      <c r="O50" s="27">
        <v>1</v>
      </c>
      <c r="P50" s="32" t="str">
        <f t="shared" si="6"/>
        <v>11.1.4.1</v>
      </c>
      <c r="Q50" s="27" t="s">
        <v>161</v>
      </c>
      <c r="R50" s="27"/>
      <c r="S50" s="33" t="s">
        <v>162</v>
      </c>
      <c r="T50" s="33" t="s">
        <v>163</v>
      </c>
      <c r="U50" s="27">
        <v>89</v>
      </c>
      <c r="V50" s="27">
        <v>3</v>
      </c>
      <c r="W50" s="27">
        <v>3</v>
      </c>
      <c r="X50" s="27"/>
    </row>
    <row r="51" spans="1:24" ht="20.25" thickTop="1" thickBot="1" x14ac:dyDescent="0.3">
      <c r="A51" s="27">
        <v>11</v>
      </c>
      <c r="B51" s="27">
        <v>1</v>
      </c>
      <c r="C51" s="4">
        <f t="shared" si="0"/>
        <v>5</v>
      </c>
      <c r="D51" s="4">
        <f t="shared" si="4"/>
        <v>4</v>
      </c>
      <c r="E51" s="27" t="str">
        <f t="shared" si="2"/>
        <v>11.1.5</v>
      </c>
      <c r="F51" s="27" t="str">
        <f>P31</f>
        <v>10.1.2.1</v>
      </c>
      <c r="G51" s="30"/>
      <c r="H51" s="30" t="s">
        <v>514</v>
      </c>
      <c r="I51" s="27" t="s">
        <v>594</v>
      </c>
      <c r="J51" s="6" t="s">
        <v>597</v>
      </c>
      <c r="K51" s="6" t="s">
        <v>597</v>
      </c>
      <c r="L51" s="6" t="s">
        <v>597</v>
      </c>
      <c r="M51" s="33"/>
      <c r="N51" s="33" t="s">
        <v>556</v>
      </c>
      <c r="O51" s="27">
        <v>0</v>
      </c>
      <c r="P51" s="32" t="str">
        <f t="shared" si="6"/>
        <v>11.1.5.0</v>
      </c>
      <c r="Q51" s="27"/>
      <c r="R51" s="27"/>
      <c r="S51" s="6" t="s">
        <v>597</v>
      </c>
      <c r="T51" s="6" t="s">
        <v>597</v>
      </c>
      <c r="U51" s="27"/>
      <c r="V51" s="27">
        <v>0</v>
      </c>
      <c r="W51" s="27">
        <v>0</v>
      </c>
      <c r="X51" s="27"/>
    </row>
    <row r="52" spans="1:24" ht="20.25" thickTop="1" thickBot="1" x14ac:dyDescent="0.3">
      <c r="A52" s="27">
        <v>11</v>
      </c>
      <c r="B52" s="27">
        <v>1</v>
      </c>
      <c r="C52" s="4">
        <f t="shared" si="0"/>
        <v>6</v>
      </c>
      <c r="D52" s="4">
        <f t="shared" si="4"/>
        <v>4</v>
      </c>
      <c r="E52" s="27" t="str">
        <f t="shared" si="2"/>
        <v>11.1.6</v>
      </c>
      <c r="F52" s="27" t="str">
        <f>P31</f>
        <v>10.1.2.1</v>
      </c>
      <c r="G52" s="30"/>
      <c r="H52" s="30" t="s">
        <v>515</v>
      </c>
      <c r="I52" s="27" t="s">
        <v>594</v>
      </c>
      <c r="J52" s="6" t="s">
        <v>597</v>
      </c>
      <c r="K52" s="6" t="s">
        <v>597</v>
      </c>
      <c r="L52" s="6" t="s">
        <v>597</v>
      </c>
      <c r="M52" s="33"/>
      <c r="N52" s="33" t="s">
        <v>556</v>
      </c>
      <c r="O52" s="27">
        <v>0</v>
      </c>
      <c r="P52" s="32" t="str">
        <f t="shared" si="6"/>
        <v>11.1.6.0</v>
      </c>
      <c r="Q52" s="27"/>
      <c r="R52" s="27"/>
      <c r="S52" s="6" t="s">
        <v>597</v>
      </c>
      <c r="T52" s="6" t="s">
        <v>597</v>
      </c>
      <c r="U52" s="27"/>
      <c r="V52" s="27">
        <v>0</v>
      </c>
      <c r="W52" s="27">
        <v>0</v>
      </c>
      <c r="X52" s="27"/>
    </row>
    <row r="53" spans="1:24" ht="20.25" thickTop="1" thickBot="1" x14ac:dyDescent="0.3">
      <c r="A53" s="27">
        <v>11</v>
      </c>
      <c r="B53" s="27">
        <v>1</v>
      </c>
      <c r="C53" s="4">
        <f t="shared" si="0"/>
        <v>7</v>
      </c>
      <c r="D53" s="4">
        <f>IF(I53="Nữ",IF((A53&lt;&gt;A52),0,D52),IF(A53&lt;&gt;A52,1,IF(ISBLANK(B53),D52,D52+1)))</f>
        <v>4</v>
      </c>
      <c r="E53" s="27" t="str">
        <f t="shared" si="2"/>
        <v>11.1.7</v>
      </c>
      <c r="F53" s="27" t="str">
        <f>P31</f>
        <v>10.1.2.1</v>
      </c>
      <c r="G53" s="30"/>
      <c r="H53" s="30" t="s">
        <v>516</v>
      </c>
      <c r="I53" s="27" t="s">
        <v>594</v>
      </c>
      <c r="J53" s="6" t="s">
        <v>597</v>
      </c>
      <c r="K53" s="6" t="s">
        <v>597</v>
      </c>
      <c r="L53" s="6" t="s">
        <v>597</v>
      </c>
      <c r="M53" s="33"/>
      <c r="N53" s="33" t="s">
        <v>556</v>
      </c>
      <c r="O53" s="27">
        <v>0</v>
      </c>
      <c r="P53" s="32" t="str">
        <f t="shared" si="6"/>
        <v>11.1.7.0</v>
      </c>
      <c r="Q53" s="27"/>
      <c r="R53" s="27"/>
      <c r="S53" s="6" t="s">
        <v>597</v>
      </c>
      <c r="T53" s="6" t="s">
        <v>597</v>
      </c>
      <c r="U53" s="27"/>
      <c r="V53" s="27">
        <v>0</v>
      </c>
      <c r="W53" s="27">
        <v>0</v>
      </c>
      <c r="X53" s="27"/>
    </row>
    <row r="54" spans="1:24" ht="20.25" thickTop="1" thickBot="1" x14ac:dyDescent="0.3">
      <c r="A54" s="27">
        <v>11</v>
      </c>
      <c r="B54" s="42">
        <v>1</v>
      </c>
      <c r="C54" s="4">
        <f t="shared" si="0"/>
        <v>8</v>
      </c>
      <c r="D54" s="4">
        <f t="shared" si="4"/>
        <v>5</v>
      </c>
      <c r="E54" s="48" t="str">
        <f t="shared" si="2"/>
        <v>11.1.8</v>
      </c>
      <c r="F54" s="42" t="str">
        <f>P32</f>
        <v>10.1.2.2</v>
      </c>
      <c r="G54" s="50"/>
      <c r="H54" s="50" t="s">
        <v>517</v>
      </c>
      <c r="I54" s="27" t="s">
        <v>593</v>
      </c>
      <c r="J54" s="54" t="s">
        <v>164</v>
      </c>
      <c r="K54" s="54" t="s">
        <v>165</v>
      </c>
      <c r="L54" s="54" t="s">
        <v>142</v>
      </c>
      <c r="M54" s="54"/>
      <c r="N54" s="69" t="s">
        <v>553</v>
      </c>
      <c r="O54" s="27">
        <v>1</v>
      </c>
      <c r="P54" s="32" t="str">
        <f t="shared" si="6"/>
        <v>11.1.8.1</v>
      </c>
      <c r="Q54" s="27" t="s">
        <v>166</v>
      </c>
      <c r="R54" s="27"/>
      <c r="S54" s="6" t="s">
        <v>597</v>
      </c>
      <c r="T54" s="33" t="s">
        <v>167</v>
      </c>
      <c r="U54" s="27"/>
      <c r="V54" s="27">
        <v>1</v>
      </c>
      <c r="W54" s="27">
        <v>6</v>
      </c>
      <c r="X54" s="27"/>
    </row>
    <row r="55" spans="1:24" ht="20.25" thickTop="1" thickBot="1" x14ac:dyDescent="0.3">
      <c r="A55" s="27">
        <v>11</v>
      </c>
      <c r="B55" s="42"/>
      <c r="C55" s="4">
        <f t="shared" si="0"/>
        <v>8</v>
      </c>
      <c r="D55" s="4">
        <f>IF(I55="Nữ",IF((A55&lt;&gt;A54),0,D54),IF(A55&lt;&gt;A54,1,IF(ISBLANK(B55),D54,D54+1)))</f>
        <v>5</v>
      </c>
      <c r="E55" s="49"/>
      <c r="F55" s="42"/>
      <c r="G55" s="50"/>
      <c r="H55" s="50"/>
      <c r="I55" s="27" t="s">
        <v>593</v>
      </c>
      <c r="J55" s="54"/>
      <c r="K55" s="54"/>
      <c r="L55" s="54"/>
      <c r="M55" s="54"/>
      <c r="N55" s="70"/>
      <c r="O55" s="27">
        <v>2</v>
      </c>
      <c r="P55" s="32" t="str">
        <f>E54&amp;"."&amp;O55</f>
        <v>11.1.8.2</v>
      </c>
      <c r="Q55" s="27" t="s">
        <v>168</v>
      </c>
      <c r="R55" s="27"/>
      <c r="S55" s="6" t="s">
        <v>597</v>
      </c>
      <c r="T55" s="6" t="s">
        <v>597</v>
      </c>
      <c r="U55" s="27"/>
      <c r="V55" s="27">
        <v>0</v>
      </c>
      <c r="W55" s="27">
        <v>1</v>
      </c>
      <c r="X55" s="27"/>
    </row>
    <row r="56" spans="1:24" ht="20.25" thickTop="1" thickBot="1" x14ac:dyDescent="0.3">
      <c r="A56" s="27">
        <v>11</v>
      </c>
      <c r="B56" s="27">
        <v>1</v>
      </c>
      <c r="C56" s="4">
        <f t="shared" si="0"/>
        <v>9</v>
      </c>
      <c r="D56" s="4">
        <f t="shared" si="4"/>
        <v>5</v>
      </c>
      <c r="E56" s="27" t="str">
        <f t="shared" si="2"/>
        <v>11.1.9</v>
      </c>
      <c r="F56" s="27" t="str">
        <f>P32</f>
        <v>10.1.2.2</v>
      </c>
      <c r="G56" s="30"/>
      <c r="H56" s="30" t="s">
        <v>518</v>
      </c>
      <c r="I56" s="27" t="s">
        <v>594</v>
      </c>
      <c r="J56" s="6" t="s">
        <v>597</v>
      </c>
      <c r="K56" s="6" t="s">
        <v>597</v>
      </c>
      <c r="L56" s="6" t="s">
        <v>597</v>
      </c>
      <c r="M56" s="33"/>
      <c r="N56" s="33" t="s">
        <v>556</v>
      </c>
      <c r="O56" s="27">
        <v>0</v>
      </c>
      <c r="P56" s="32" t="str">
        <f>E56&amp;"."&amp;O56</f>
        <v>11.1.9.0</v>
      </c>
      <c r="Q56" s="27"/>
      <c r="R56" s="27"/>
      <c r="S56" s="6" t="s">
        <v>597</v>
      </c>
      <c r="T56" s="6" t="s">
        <v>597</v>
      </c>
      <c r="U56" s="27"/>
      <c r="V56" s="27">
        <v>0</v>
      </c>
      <c r="W56" s="27">
        <v>0</v>
      </c>
      <c r="X56" s="27"/>
    </row>
    <row r="57" spans="1:24" ht="20.25" thickTop="1" thickBot="1" x14ac:dyDescent="0.3">
      <c r="A57" s="27">
        <v>11</v>
      </c>
      <c r="B57" s="27">
        <v>1</v>
      </c>
      <c r="C57" s="4">
        <f t="shared" si="0"/>
        <v>10</v>
      </c>
      <c r="D57" s="4">
        <f t="shared" si="4"/>
        <v>5</v>
      </c>
      <c r="E57" s="27" t="str">
        <f t="shared" si="2"/>
        <v>11.1.10</v>
      </c>
      <c r="F57" s="27" t="str">
        <f>P33</f>
        <v>10.1.3.1</v>
      </c>
      <c r="G57" s="30"/>
      <c r="H57" s="30" t="s">
        <v>519</v>
      </c>
      <c r="I57" s="27" t="s">
        <v>594</v>
      </c>
      <c r="J57" s="6" t="s">
        <v>597</v>
      </c>
      <c r="K57" s="6" t="s">
        <v>597</v>
      </c>
      <c r="L57" s="6" t="s">
        <v>597</v>
      </c>
      <c r="M57" s="33"/>
      <c r="N57" s="33" t="s">
        <v>556</v>
      </c>
      <c r="O57" s="27">
        <v>0</v>
      </c>
      <c r="P57" s="32" t="str">
        <f>E57&amp;"."&amp;O57</f>
        <v>11.1.10.0</v>
      </c>
      <c r="Q57" s="27"/>
      <c r="R57" s="27"/>
      <c r="S57" s="6" t="s">
        <v>597</v>
      </c>
      <c r="T57" s="6" t="s">
        <v>597</v>
      </c>
      <c r="U57" s="27"/>
      <c r="V57" s="27">
        <v>0</v>
      </c>
      <c r="W57" s="27">
        <v>0</v>
      </c>
      <c r="X57" s="27"/>
    </row>
    <row r="58" spans="1:24" ht="20.25" thickTop="1" thickBot="1" x14ac:dyDescent="0.3">
      <c r="A58" s="27">
        <v>11</v>
      </c>
      <c r="B58" s="42">
        <v>1</v>
      </c>
      <c r="C58" s="4">
        <f t="shared" si="0"/>
        <v>11</v>
      </c>
      <c r="D58" s="4">
        <f t="shared" si="4"/>
        <v>6</v>
      </c>
      <c r="E58" s="48" t="str">
        <f t="shared" si="2"/>
        <v>11.1.11</v>
      </c>
      <c r="F58" s="42" t="str">
        <f>P34</f>
        <v>10.1.3.2</v>
      </c>
      <c r="G58" s="50" t="s">
        <v>579</v>
      </c>
      <c r="H58" s="50" t="s">
        <v>520</v>
      </c>
      <c r="I58" s="27" t="s">
        <v>593</v>
      </c>
      <c r="J58" s="6" t="s">
        <v>597</v>
      </c>
      <c r="K58" s="54" t="s">
        <v>169</v>
      </c>
      <c r="L58" s="54" t="s">
        <v>170</v>
      </c>
      <c r="M58" s="54"/>
      <c r="N58" s="69" t="s">
        <v>553</v>
      </c>
      <c r="O58" s="27">
        <v>1</v>
      </c>
      <c r="P58" s="32" t="str">
        <f>E58&amp;"."&amp;O58</f>
        <v>11.1.11.1</v>
      </c>
      <c r="Q58" s="27" t="s">
        <v>171</v>
      </c>
      <c r="R58" s="27"/>
      <c r="S58" s="6" t="s">
        <v>597</v>
      </c>
      <c r="T58" s="6" t="s">
        <v>597</v>
      </c>
      <c r="U58" s="27"/>
      <c r="V58" s="27">
        <v>0</v>
      </c>
      <c r="W58" s="27">
        <v>0</v>
      </c>
      <c r="X58" s="27"/>
    </row>
    <row r="59" spans="1:24" ht="20.25" thickTop="1" thickBot="1" x14ac:dyDescent="0.3">
      <c r="A59" s="27">
        <v>11</v>
      </c>
      <c r="B59" s="42"/>
      <c r="C59" s="4">
        <f t="shared" si="0"/>
        <v>11</v>
      </c>
      <c r="D59" s="4">
        <f t="shared" si="4"/>
        <v>6</v>
      </c>
      <c r="E59" s="49"/>
      <c r="F59" s="42"/>
      <c r="G59" s="50"/>
      <c r="H59" s="50"/>
      <c r="I59" s="27" t="s">
        <v>593</v>
      </c>
      <c r="J59" s="6" t="s">
        <v>597</v>
      </c>
      <c r="K59" s="54"/>
      <c r="L59" s="54"/>
      <c r="M59" s="54"/>
      <c r="N59" s="70"/>
      <c r="O59" s="27">
        <v>2</v>
      </c>
      <c r="P59" s="32" t="str">
        <f>E58&amp;"."&amp;O59</f>
        <v>11.1.11.2</v>
      </c>
      <c r="Q59" s="27" t="s">
        <v>172</v>
      </c>
      <c r="R59" s="27"/>
      <c r="S59" s="6" t="s">
        <v>597</v>
      </c>
      <c r="T59" s="6" t="s">
        <v>597</v>
      </c>
      <c r="U59" s="27"/>
      <c r="V59" s="27">
        <v>0</v>
      </c>
      <c r="W59" s="27">
        <v>1</v>
      </c>
      <c r="X59" s="27"/>
    </row>
    <row r="60" spans="1:24" ht="20.25" thickTop="1" thickBot="1" x14ac:dyDescent="0.3">
      <c r="A60" s="27">
        <v>11</v>
      </c>
      <c r="B60" s="27">
        <v>1</v>
      </c>
      <c r="C60" s="4">
        <f t="shared" si="0"/>
        <v>12</v>
      </c>
      <c r="D60" s="4">
        <f t="shared" si="4"/>
        <v>7</v>
      </c>
      <c r="E60" s="27" t="str">
        <f t="shared" si="2"/>
        <v>11.1.12</v>
      </c>
      <c r="F60" s="27" t="str">
        <f>P34</f>
        <v>10.1.3.2</v>
      </c>
      <c r="G60" s="30" t="s">
        <v>580</v>
      </c>
      <c r="H60" s="30" t="s">
        <v>521</v>
      </c>
      <c r="I60" s="27" t="s">
        <v>593</v>
      </c>
      <c r="J60" s="6" t="s">
        <v>597</v>
      </c>
      <c r="K60" s="33" t="s">
        <v>173</v>
      </c>
      <c r="L60" s="6" t="s">
        <v>597</v>
      </c>
      <c r="M60" s="33" t="s">
        <v>174</v>
      </c>
      <c r="N60" s="33" t="s">
        <v>552</v>
      </c>
      <c r="O60" s="27">
        <v>1</v>
      </c>
      <c r="P60" s="32" t="str">
        <f t="shared" ref="P60:P76" si="7">E60&amp;"."&amp;O60</f>
        <v>11.1.12.1</v>
      </c>
      <c r="Q60" s="27" t="s">
        <v>175</v>
      </c>
      <c r="R60" s="27"/>
      <c r="S60" s="6" t="s">
        <v>597</v>
      </c>
      <c r="T60" s="6" t="s">
        <v>597</v>
      </c>
      <c r="U60" s="27"/>
      <c r="V60" s="27">
        <v>1</v>
      </c>
      <c r="W60" s="27">
        <v>0</v>
      </c>
      <c r="X60" s="27" t="s">
        <v>176</v>
      </c>
    </row>
    <row r="61" spans="1:24" ht="20.25" thickTop="1" thickBot="1" x14ac:dyDescent="0.3">
      <c r="A61" s="27">
        <v>11</v>
      </c>
      <c r="B61" s="27">
        <v>1</v>
      </c>
      <c r="C61" s="4">
        <f t="shared" si="0"/>
        <v>13</v>
      </c>
      <c r="D61" s="4">
        <f t="shared" si="4"/>
        <v>7</v>
      </c>
      <c r="E61" s="27" t="str">
        <f t="shared" si="2"/>
        <v>11.1.13</v>
      </c>
      <c r="F61" s="27" t="str">
        <f>P34</f>
        <v>10.1.3.2</v>
      </c>
      <c r="G61" s="30"/>
      <c r="H61" s="30" t="s">
        <v>522</v>
      </c>
      <c r="I61" s="27" t="s">
        <v>594</v>
      </c>
      <c r="J61" s="6" t="s">
        <v>597</v>
      </c>
      <c r="K61" s="6" t="s">
        <v>597</v>
      </c>
      <c r="L61" s="6" t="s">
        <v>597</v>
      </c>
      <c r="M61" s="33"/>
      <c r="N61" s="33" t="s">
        <v>556</v>
      </c>
      <c r="O61" s="27">
        <v>0</v>
      </c>
      <c r="P61" s="32" t="str">
        <f t="shared" si="7"/>
        <v>11.1.13.0</v>
      </c>
      <c r="Q61" s="27"/>
      <c r="R61" s="27"/>
      <c r="S61" s="6" t="s">
        <v>597</v>
      </c>
      <c r="T61" s="6" t="s">
        <v>597</v>
      </c>
      <c r="U61" s="27"/>
      <c r="V61" s="27">
        <v>0</v>
      </c>
      <c r="W61" s="27">
        <v>0</v>
      </c>
      <c r="X61" s="27"/>
    </row>
    <row r="62" spans="1:24" ht="20.25" thickTop="1" thickBot="1" x14ac:dyDescent="0.3">
      <c r="A62" s="27">
        <v>11</v>
      </c>
      <c r="B62" s="27">
        <v>1</v>
      </c>
      <c r="C62" s="4">
        <f t="shared" si="0"/>
        <v>14</v>
      </c>
      <c r="D62" s="4">
        <f>IF(I62="Nữ",IF((A62&lt;&gt;A61),0,D61),IF(A62&lt;&gt;A61,1,IF(ISBLANK(B62),D61,D61+1)))</f>
        <v>8</v>
      </c>
      <c r="E62" s="27" t="str">
        <f t="shared" si="2"/>
        <v>11.1.14</v>
      </c>
      <c r="F62" s="27" t="str">
        <f>P35</f>
        <v>10.1.4.1</v>
      </c>
      <c r="G62" s="30"/>
      <c r="H62" s="30" t="s">
        <v>177</v>
      </c>
      <c r="I62" s="27" t="s">
        <v>593</v>
      </c>
      <c r="J62" s="35" t="s">
        <v>180</v>
      </c>
      <c r="K62" s="33" t="s">
        <v>178</v>
      </c>
      <c r="L62" s="33" t="s">
        <v>179</v>
      </c>
      <c r="M62" s="11" t="s">
        <v>197</v>
      </c>
      <c r="N62" s="11" t="s">
        <v>552</v>
      </c>
      <c r="O62" s="27">
        <v>1</v>
      </c>
      <c r="P62" s="32" t="str">
        <f t="shared" si="7"/>
        <v>11.1.14.1</v>
      </c>
      <c r="Q62" s="27"/>
      <c r="R62" s="27"/>
      <c r="S62" s="6" t="s">
        <v>597</v>
      </c>
      <c r="T62" s="6" t="s">
        <v>597</v>
      </c>
      <c r="U62" s="27"/>
      <c r="V62" s="27">
        <v>0</v>
      </c>
      <c r="W62" s="27">
        <v>0</v>
      </c>
      <c r="X62" s="27" t="s">
        <v>266</v>
      </c>
    </row>
    <row r="63" spans="1:24" ht="20.25" thickTop="1" thickBot="1" x14ac:dyDescent="0.3">
      <c r="A63" s="27">
        <v>11</v>
      </c>
      <c r="B63" s="27">
        <v>1</v>
      </c>
      <c r="C63" s="4">
        <f t="shared" si="0"/>
        <v>15</v>
      </c>
      <c r="D63" s="4">
        <f t="shared" si="4"/>
        <v>8</v>
      </c>
      <c r="E63" s="27" t="str">
        <f t="shared" si="2"/>
        <v>11.1.15</v>
      </c>
      <c r="F63" s="27" t="str">
        <f>P35</f>
        <v>10.1.4.1</v>
      </c>
      <c r="G63" s="30"/>
      <c r="H63" s="30" t="s">
        <v>523</v>
      </c>
      <c r="I63" s="27" t="s">
        <v>594</v>
      </c>
      <c r="J63" s="6" t="s">
        <v>597</v>
      </c>
      <c r="K63" s="6" t="s">
        <v>597</v>
      </c>
      <c r="L63" s="6" t="s">
        <v>597</v>
      </c>
      <c r="M63" s="11"/>
      <c r="N63" s="11" t="s">
        <v>556</v>
      </c>
      <c r="O63" s="27">
        <v>0</v>
      </c>
      <c r="P63" s="32" t="str">
        <f t="shared" si="7"/>
        <v>11.1.15.0</v>
      </c>
      <c r="Q63" s="27"/>
      <c r="R63" s="27"/>
      <c r="S63" s="6" t="s">
        <v>597</v>
      </c>
      <c r="T63" s="6" t="s">
        <v>597</v>
      </c>
      <c r="U63" s="27"/>
      <c r="V63" s="27">
        <v>0</v>
      </c>
      <c r="W63" s="27">
        <v>0</v>
      </c>
      <c r="X63" s="27"/>
    </row>
    <row r="64" spans="1:24" ht="20.25" thickTop="1" thickBot="1" x14ac:dyDescent="0.3">
      <c r="A64" s="27">
        <v>11</v>
      </c>
      <c r="B64" s="27">
        <v>1</v>
      </c>
      <c r="C64" s="4">
        <f t="shared" si="0"/>
        <v>16</v>
      </c>
      <c r="D64" s="4">
        <f t="shared" si="4"/>
        <v>8</v>
      </c>
      <c r="E64" s="27" t="str">
        <f t="shared" si="2"/>
        <v>11.1.16</v>
      </c>
      <c r="F64" s="27" t="str">
        <f>P35</f>
        <v>10.1.4.1</v>
      </c>
      <c r="G64" s="30"/>
      <c r="H64" s="30" t="s">
        <v>524</v>
      </c>
      <c r="I64" s="27" t="s">
        <v>594</v>
      </c>
      <c r="J64" s="6" t="s">
        <v>597</v>
      </c>
      <c r="K64" s="6" t="s">
        <v>597</v>
      </c>
      <c r="L64" s="6" t="s">
        <v>597</v>
      </c>
      <c r="M64" s="11"/>
      <c r="N64" s="11" t="s">
        <v>556</v>
      </c>
      <c r="O64" s="27">
        <v>0</v>
      </c>
      <c r="P64" s="32" t="str">
        <f t="shared" si="7"/>
        <v>11.1.16.0</v>
      </c>
      <c r="Q64" s="27"/>
      <c r="R64" s="27"/>
      <c r="S64" s="6" t="s">
        <v>597</v>
      </c>
      <c r="T64" s="6" t="s">
        <v>597</v>
      </c>
      <c r="U64" s="27"/>
      <c r="V64" s="27">
        <v>0</v>
      </c>
      <c r="W64" s="27">
        <v>0</v>
      </c>
      <c r="X64" s="27"/>
    </row>
    <row r="65" spans="1:24" ht="20.25" thickTop="1" thickBot="1" x14ac:dyDescent="0.3">
      <c r="A65" s="27">
        <v>11</v>
      </c>
      <c r="B65" s="27">
        <v>1</v>
      </c>
      <c r="C65" s="4">
        <f t="shared" si="0"/>
        <v>17</v>
      </c>
      <c r="D65" s="4">
        <f t="shared" si="4"/>
        <v>9</v>
      </c>
      <c r="E65" s="27" t="str">
        <f t="shared" si="2"/>
        <v>11.1.17</v>
      </c>
      <c r="F65" s="27" t="str">
        <f>P36</f>
        <v>10.1.4.2</v>
      </c>
      <c r="G65" s="30"/>
      <c r="H65" s="30" t="s">
        <v>185</v>
      </c>
      <c r="I65" s="27" t="s">
        <v>593</v>
      </c>
      <c r="J65" s="6" t="s">
        <v>597</v>
      </c>
      <c r="K65" s="33" t="s">
        <v>181</v>
      </c>
      <c r="L65" s="33" t="s">
        <v>182</v>
      </c>
      <c r="M65" s="33"/>
      <c r="N65" s="33" t="s">
        <v>552</v>
      </c>
      <c r="O65" s="27">
        <v>1</v>
      </c>
      <c r="P65" s="32" t="str">
        <f t="shared" si="7"/>
        <v>11.1.17.1</v>
      </c>
      <c r="Q65" s="27" t="s">
        <v>183</v>
      </c>
      <c r="R65" s="27"/>
      <c r="S65" s="6" t="s">
        <v>597</v>
      </c>
      <c r="T65" s="33" t="s">
        <v>184</v>
      </c>
      <c r="U65" s="27">
        <v>42</v>
      </c>
      <c r="V65" s="27">
        <v>2</v>
      </c>
      <c r="W65" s="27">
        <v>2</v>
      </c>
      <c r="X65" s="27"/>
    </row>
    <row r="66" spans="1:24" ht="20.25" thickTop="1" thickBot="1" x14ac:dyDescent="0.3">
      <c r="A66" s="27">
        <v>11</v>
      </c>
      <c r="B66" s="27">
        <v>1</v>
      </c>
      <c r="C66" s="4">
        <f t="shared" si="0"/>
        <v>18</v>
      </c>
      <c r="D66" s="4">
        <f t="shared" si="4"/>
        <v>10</v>
      </c>
      <c r="E66" s="27" t="str">
        <f t="shared" si="2"/>
        <v>11.1.18</v>
      </c>
      <c r="F66" s="27" t="str">
        <f>P36</f>
        <v>10.1.4.2</v>
      </c>
      <c r="G66" s="30"/>
      <c r="H66" s="30" t="s">
        <v>186</v>
      </c>
      <c r="I66" s="27" t="s">
        <v>593</v>
      </c>
      <c r="J66" s="6" t="s">
        <v>597</v>
      </c>
      <c r="K66" s="33" t="s">
        <v>188</v>
      </c>
      <c r="L66" s="33" t="s">
        <v>189</v>
      </c>
      <c r="M66" s="33"/>
      <c r="N66" s="33" t="s">
        <v>552</v>
      </c>
      <c r="O66" s="27">
        <v>1</v>
      </c>
      <c r="P66" s="32" t="str">
        <f t="shared" si="7"/>
        <v>11.1.18.1</v>
      </c>
      <c r="Q66" s="27" t="s">
        <v>190</v>
      </c>
      <c r="R66" s="27"/>
      <c r="S66" s="35" t="s">
        <v>192</v>
      </c>
      <c r="T66" s="33" t="s">
        <v>191</v>
      </c>
      <c r="U66" s="27">
        <v>82</v>
      </c>
      <c r="V66" s="27">
        <v>1</v>
      </c>
      <c r="W66" s="27">
        <v>1</v>
      </c>
      <c r="X66" s="27"/>
    </row>
    <row r="67" spans="1:24" ht="20.25" thickTop="1" thickBot="1" x14ac:dyDescent="0.3">
      <c r="A67" s="27">
        <v>11</v>
      </c>
      <c r="B67" s="27">
        <v>1</v>
      </c>
      <c r="C67" s="4">
        <f t="shared" si="0"/>
        <v>19</v>
      </c>
      <c r="D67" s="4">
        <f t="shared" si="4"/>
        <v>11</v>
      </c>
      <c r="E67" s="27" t="str">
        <f t="shared" si="2"/>
        <v>11.1.19</v>
      </c>
      <c r="F67" s="27" t="str">
        <f>P36</f>
        <v>10.1.4.2</v>
      </c>
      <c r="G67" s="30"/>
      <c r="H67" s="30" t="s">
        <v>187</v>
      </c>
      <c r="I67" s="27" t="s">
        <v>593</v>
      </c>
      <c r="J67" s="6" t="s">
        <v>597</v>
      </c>
      <c r="K67" s="33" t="s">
        <v>194</v>
      </c>
      <c r="L67" s="6" t="s">
        <v>597</v>
      </c>
      <c r="M67" s="33"/>
      <c r="N67" s="33" t="s">
        <v>552</v>
      </c>
      <c r="O67" s="27">
        <v>1</v>
      </c>
      <c r="P67" s="32" t="str">
        <f t="shared" si="7"/>
        <v>11.1.19.1</v>
      </c>
      <c r="Q67" s="27" t="s">
        <v>193</v>
      </c>
      <c r="R67" s="27"/>
      <c r="S67" s="6" t="s">
        <v>597</v>
      </c>
      <c r="T67" s="33" t="s">
        <v>195</v>
      </c>
      <c r="U67" s="27"/>
      <c r="V67" s="27">
        <v>0</v>
      </c>
      <c r="W67" s="27">
        <v>0</v>
      </c>
      <c r="X67" s="27"/>
    </row>
    <row r="68" spans="1:24" ht="20.25" thickTop="1" thickBot="1" x14ac:dyDescent="0.3">
      <c r="A68" s="27">
        <v>11</v>
      </c>
      <c r="B68" s="27">
        <v>1</v>
      </c>
      <c r="C68" s="4">
        <f t="shared" si="0"/>
        <v>20</v>
      </c>
      <c r="D68" s="4">
        <f t="shared" si="4"/>
        <v>12</v>
      </c>
      <c r="E68" s="27" t="str">
        <f t="shared" si="2"/>
        <v>11.1.20</v>
      </c>
      <c r="F68" s="27" t="str">
        <f>P36</f>
        <v>10.1.4.2</v>
      </c>
      <c r="G68" s="30"/>
      <c r="H68" s="30" t="s">
        <v>196</v>
      </c>
      <c r="I68" s="27" t="s">
        <v>593</v>
      </c>
      <c r="J68" s="6" t="s">
        <v>597</v>
      </c>
      <c r="K68" s="6" t="s">
        <v>597</v>
      </c>
      <c r="L68" s="6" t="s">
        <v>597</v>
      </c>
      <c r="M68" s="33"/>
      <c r="N68" s="33" t="s">
        <v>556</v>
      </c>
      <c r="O68" s="27">
        <v>0</v>
      </c>
      <c r="P68" s="32" t="str">
        <f t="shared" si="7"/>
        <v>11.1.20.0</v>
      </c>
      <c r="Q68" s="27"/>
      <c r="R68" s="27"/>
      <c r="S68" s="6" t="s">
        <v>597</v>
      </c>
      <c r="T68" s="6" t="s">
        <v>597</v>
      </c>
      <c r="U68" s="27"/>
      <c r="V68" s="27">
        <v>0</v>
      </c>
      <c r="W68" s="27">
        <v>0</v>
      </c>
      <c r="X68" s="27"/>
    </row>
    <row r="69" spans="1:24" ht="20.25" thickTop="1" thickBot="1" x14ac:dyDescent="0.3">
      <c r="A69" s="27">
        <v>11</v>
      </c>
      <c r="B69" s="27">
        <v>1</v>
      </c>
      <c r="C69" s="4">
        <f t="shared" ref="C69:C132" si="8">IF(A69&lt;&gt;A68,1,IF(ISBLANK(B69),C68,C68+1))</f>
        <v>21</v>
      </c>
      <c r="D69" s="4">
        <f>IF(I69="Nữ",IF((A69&lt;&gt;A68),0,D68),IF(A69&lt;&gt;A68,1,IF(ISBLANK(B69),D68,D68+1)))</f>
        <v>13</v>
      </c>
      <c r="E69" s="27" t="str">
        <f t="shared" ref="E69:E132" si="9">A69&amp;"."&amp;B69&amp;"."&amp;C69</f>
        <v>11.1.21</v>
      </c>
      <c r="F69" s="27" t="str">
        <f>P37</f>
        <v>10.1.5.1</v>
      </c>
      <c r="G69" s="30" t="s">
        <v>581</v>
      </c>
      <c r="H69" s="30" t="s">
        <v>199</v>
      </c>
      <c r="I69" s="27" t="s">
        <v>593</v>
      </c>
      <c r="J69" s="6" t="s">
        <v>597</v>
      </c>
      <c r="K69" s="33" t="s">
        <v>198</v>
      </c>
      <c r="L69" s="6" t="s">
        <v>597</v>
      </c>
      <c r="M69" s="33"/>
      <c r="N69" s="33" t="s">
        <v>552</v>
      </c>
      <c r="O69" s="27">
        <v>1</v>
      </c>
      <c r="P69" s="32" t="str">
        <f t="shared" si="7"/>
        <v>11.1.21.1</v>
      </c>
      <c r="Q69" s="27"/>
      <c r="R69" s="27"/>
      <c r="S69" s="6" t="s">
        <v>597</v>
      </c>
      <c r="T69" s="6" t="s">
        <v>597</v>
      </c>
      <c r="U69" s="27"/>
      <c r="V69" s="27">
        <v>0</v>
      </c>
      <c r="W69" s="27">
        <v>0</v>
      </c>
      <c r="X69" s="27" t="s">
        <v>266</v>
      </c>
    </row>
    <row r="70" spans="1:24" ht="20.25" thickTop="1" thickBot="1" x14ac:dyDescent="0.3">
      <c r="A70" s="27">
        <v>11</v>
      </c>
      <c r="B70" s="27">
        <v>1</v>
      </c>
      <c r="C70" s="4">
        <f t="shared" si="8"/>
        <v>22</v>
      </c>
      <c r="D70" s="4">
        <f t="shared" si="4"/>
        <v>13</v>
      </c>
      <c r="E70" s="27" t="str">
        <f t="shared" si="9"/>
        <v>11.1.22</v>
      </c>
      <c r="F70" s="27" t="str">
        <f>P37</f>
        <v>10.1.5.1</v>
      </c>
      <c r="G70" s="30"/>
      <c r="H70" s="30" t="s">
        <v>525</v>
      </c>
      <c r="I70" s="27" t="s">
        <v>594</v>
      </c>
      <c r="J70" s="6" t="s">
        <v>597</v>
      </c>
      <c r="K70" s="6" t="s">
        <v>597</v>
      </c>
      <c r="L70" s="6" t="s">
        <v>597</v>
      </c>
      <c r="M70" s="33"/>
      <c r="N70" s="33" t="s">
        <v>556</v>
      </c>
      <c r="O70" s="27">
        <v>0</v>
      </c>
      <c r="P70" s="32" t="str">
        <f t="shared" si="7"/>
        <v>11.1.22.0</v>
      </c>
      <c r="Q70" s="27"/>
      <c r="R70" s="27"/>
      <c r="S70" s="6" t="s">
        <v>597</v>
      </c>
      <c r="T70" s="6" t="s">
        <v>597</v>
      </c>
      <c r="U70" s="27"/>
      <c r="V70" s="27">
        <v>0</v>
      </c>
      <c r="W70" s="27">
        <v>0</v>
      </c>
      <c r="X70" s="27"/>
    </row>
    <row r="71" spans="1:24" ht="20.25" thickTop="1" thickBot="1" x14ac:dyDescent="0.3">
      <c r="A71" s="27">
        <v>11</v>
      </c>
      <c r="B71" s="27">
        <v>1</v>
      </c>
      <c r="C71" s="4">
        <f t="shared" si="8"/>
        <v>23</v>
      </c>
      <c r="D71" s="4">
        <f>IF(I71="Nữ",IF((A71&lt;&gt;A70),0,D70),IF(A71&lt;&gt;A70,1,IF(ISBLANK(B71),D70,D70+1)))</f>
        <v>14</v>
      </c>
      <c r="E71" s="27" t="str">
        <f t="shared" si="9"/>
        <v>11.1.23</v>
      </c>
      <c r="F71" s="27" t="str">
        <f>P43</f>
        <v>10.1.11.1</v>
      </c>
      <c r="G71" s="30"/>
      <c r="H71" s="30" t="s">
        <v>200</v>
      </c>
      <c r="I71" s="27" t="s">
        <v>593</v>
      </c>
      <c r="J71" s="6" t="s">
        <v>597</v>
      </c>
      <c r="K71" s="33" t="s">
        <v>202</v>
      </c>
      <c r="L71" s="6" t="s">
        <v>597</v>
      </c>
      <c r="M71" s="33"/>
      <c r="N71" s="33" t="s">
        <v>552</v>
      </c>
      <c r="O71" s="27">
        <v>1</v>
      </c>
      <c r="P71" s="32" t="str">
        <f t="shared" si="7"/>
        <v>11.1.23.1</v>
      </c>
      <c r="Q71" s="27" t="s">
        <v>203</v>
      </c>
      <c r="R71" s="27"/>
      <c r="S71" s="6" t="s">
        <v>597</v>
      </c>
      <c r="T71" s="33" t="s">
        <v>204</v>
      </c>
      <c r="U71" s="27"/>
      <c r="V71" s="27">
        <v>2</v>
      </c>
      <c r="W71" s="27">
        <v>1</v>
      </c>
      <c r="X71" s="27"/>
    </row>
    <row r="72" spans="1:24" ht="20.25" thickTop="1" thickBot="1" x14ac:dyDescent="0.3">
      <c r="A72" s="27">
        <v>11</v>
      </c>
      <c r="B72" s="27">
        <v>1</v>
      </c>
      <c r="C72" s="4">
        <f t="shared" si="8"/>
        <v>24</v>
      </c>
      <c r="D72" s="4">
        <f>IF(I72="Nữ",IF((A72&lt;&gt;A71),0,D71),IF(A72&lt;&gt;A71,1,IF(ISBLANK(B72),D71,D71+1)))</f>
        <v>15</v>
      </c>
      <c r="E72" s="27" t="str">
        <f t="shared" si="9"/>
        <v>11.1.24</v>
      </c>
      <c r="F72" s="27" t="str">
        <f>P43</f>
        <v>10.1.11.1</v>
      </c>
      <c r="G72" s="30"/>
      <c r="H72" s="30" t="s">
        <v>201</v>
      </c>
      <c r="I72" s="27" t="s">
        <v>593</v>
      </c>
      <c r="J72" s="6" t="s">
        <v>597</v>
      </c>
      <c r="K72" s="33" t="s">
        <v>205</v>
      </c>
      <c r="L72" s="33" t="s">
        <v>206</v>
      </c>
      <c r="M72" s="33"/>
      <c r="N72" s="33" t="s">
        <v>552</v>
      </c>
      <c r="O72" s="27">
        <v>1</v>
      </c>
      <c r="P72" s="32" t="str">
        <f t="shared" si="7"/>
        <v>11.1.24.1</v>
      </c>
      <c r="Q72" s="27" t="s">
        <v>207</v>
      </c>
      <c r="R72" s="27"/>
      <c r="S72" s="6" t="s">
        <v>597</v>
      </c>
      <c r="T72" s="33" t="s">
        <v>208</v>
      </c>
      <c r="U72" s="27">
        <v>78</v>
      </c>
      <c r="V72" s="27">
        <v>1</v>
      </c>
      <c r="W72" s="27">
        <v>0</v>
      </c>
      <c r="X72" s="27"/>
    </row>
    <row r="73" spans="1:24" ht="20.25" thickTop="1" thickBot="1" x14ac:dyDescent="0.3">
      <c r="A73" s="27">
        <v>11</v>
      </c>
      <c r="B73" s="27">
        <v>1</v>
      </c>
      <c r="C73" s="4">
        <f t="shared" si="8"/>
        <v>25</v>
      </c>
      <c r="D73" s="4">
        <f t="shared" ref="D73:D75" si="10">IF(I73="Nữ",IF((A73&lt;&gt;A72),0,D72),IF(A73&lt;&gt;A72,1,IF(ISBLANK(B73),D72,D72+1)))</f>
        <v>15</v>
      </c>
      <c r="E73" s="27" t="str">
        <f t="shared" si="9"/>
        <v>11.1.25</v>
      </c>
      <c r="F73" s="27" t="str">
        <f>P43</f>
        <v>10.1.11.1</v>
      </c>
      <c r="G73" s="30"/>
      <c r="H73" s="30" t="s">
        <v>526</v>
      </c>
      <c r="I73" s="27" t="s">
        <v>594</v>
      </c>
      <c r="J73" s="6" t="s">
        <v>597</v>
      </c>
      <c r="K73" s="6" t="s">
        <v>597</v>
      </c>
      <c r="L73" s="6" t="s">
        <v>597</v>
      </c>
      <c r="M73" s="33"/>
      <c r="N73" s="33" t="s">
        <v>556</v>
      </c>
      <c r="O73" s="27">
        <v>0</v>
      </c>
      <c r="P73" s="32" t="str">
        <f t="shared" si="7"/>
        <v>11.1.25.0</v>
      </c>
      <c r="Q73" s="27"/>
      <c r="R73" s="27"/>
      <c r="S73" s="6" t="s">
        <v>597</v>
      </c>
      <c r="T73" s="6" t="s">
        <v>597</v>
      </c>
      <c r="U73" s="27"/>
      <c r="V73" s="27">
        <v>0</v>
      </c>
      <c r="W73" s="27">
        <v>0</v>
      </c>
      <c r="X73" s="27"/>
    </row>
    <row r="74" spans="1:24" ht="20.25" thickTop="1" thickBot="1" x14ac:dyDescent="0.3">
      <c r="A74" s="27">
        <v>11</v>
      </c>
      <c r="B74" s="27">
        <v>1</v>
      </c>
      <c r="C74" s="4">
        <f t="shared" si="8"/>
        <v>26</v>
      </c>
      <c r="D74" s="4">
        <f t="shared" si="10"/>
        <v>15</v>
      </c>
      <c r="E74" s="27" t="str">
        <f t="shared" si="9"/>
        <v>11.1.26</v>
      </c>
      <c r="F74" s="27" t="str">
        <f>P43</f>
        <v>10.1.11.1</v>
      </c>
      <c r="G74" s="30"/>
      <c r="H74" s="30" t="s">
        <v>527</v>
      </c>
      <c r="I74" s="27" t="s">
        <v>594</v>
      </c>
      <c r="J74" s="6" t="s">
        <v>597</v>
      </c>
      <c r="K74" s="6" t="s">
        <v>597</v>
      </c>
      <c r="L74" s="6" t="s">
        <v>597</v>
      </c>
      <c r="M74" s="33"/>
      <c r="N74" s="33" t="s">
        <v>556</v>
      </c>
      <c r="O74" s="27">
        <v>0</v>
      </c>
      <c r="P74" s="32" t="str">
        <f t="shared" si="7"/>
        <v>11.1.26.0</v>
      </c>
      <c r="Q74" s="27"/>
      <c r="R74" s="27"/>
      <c r="S74" s="6" t="s">
        <v>597</v>
      </c>
      <c r="T74" s="6" t="s">
        <v>597</v>
      </c>
      <c r="U74" s="27"/>
      <c r="V74" s="27">
        <v>0</v>
      </c>
      <c r="W74" s="27">
        <v>0</v>
      </c>
      <c r="X74" s="27"/>
    </row>
    <row r="75" spans="1:24" ht="20.25" thickTop="1" thickBot="1" x14ac:dyDescent="0.3">
      <c r="A75" s="27">
        <v>11</v>
      </c>
      <c r="B75" s="27">
        <v>1</v>
      </c>
      <c r="C75" s="4">
        <f t="shared" si="8"/>
        <v>27</v>
      </c>
      <c r="D75" s="4">
        <f t="shared" si="10"/>
        <v>15</v>
      </c>
      <c r="E75" s="27" t="str">
        <f t="shared" si="9"/>
        <v>11.1.27</v>
      </c>
      <c r="F75" s="27" t="str">
        <f>P43</f>
        <v>10.1.11.1</v>
      </c>
      <c r="G75" s="30"/>
      <c r="H75" s="30" t="s">
        <v>528</v>
      </c>
      <c r="I75" s="27" t="s">
        <v>594</v>
      </c>
      <c r="J75" s="6" t="s">
        <v>597</v>
      </c>
      <c r="K75" s="6" t="s">
        <v>597</v>
      </c>
      <c r="L75" s="6" t="s">
        <v>597</v>
      </c>
      <c r="M75" s="33"/>
      <c r="N75" s="33" t="s">
        <v>556</v>
      </c>
      <c r="O75" s="27">
        <v>0</v>
      </c>
      <c r="P75" s="32" t="str">
        <f t="shared" si="7"/>
        <v>11.1.27.0</v>
      </c>
      <c r="Q75" s="27"/>
      <c r="R75" s="27"/>
      <c r="S75" s="6" t="s">
        <v>597</v>
      </c>
      <c r="T75" s="6" t="s">
        <v>597</v>
      </c>
      <c r="U75" s="27"/>
      <c r="V75" s="27">
        <v>0</v>
      </c>
      <c r="W75" s="27">
        <v>0</v>
      </c>
      <c r="X75" s="27"/>
    </row>
    <row r="76" spans="1:24" ht="20.25" thickTop="1" thickBot="1" x14ac:dyDescent="0.3">
      <c r="A76" s="28">
        <v>12</v>
      </c>
      <c r="B76" s="43">
        <v>1</v>
      </c>
      <c r="C76" s="4">
        <f t="shared" si="8"/>
        <v>1</v>
      </c>
      <c r="D76" s="4">
        <f>IF(I76="Nữ",IF((A76&lt;&gt;A75),0,D75),IF(A76&lt;&gt;A75,1,IF(ISBLANK(B76),D75,D75+1)))</f>
        <v>1</v>
      </c>
      <c r="E76" s="44" t="str">
        <f t="shared" si="9"/>
        <v>12.1.1</v>
      </c>
      <c r="F76" s="43" t="str">
        <f>P46</f>
        <v>11.1.1.1</v>
      </c>
      <c r="G76" s="47" t="s">
        <v>582</v>
      </c>
      <c r="H76" s="47" t="s">
        <v>209</v>
      </c>
      <c r="I76" s="27" t="s">
        <v>593</v>
      </c>
      <c r="J76" s="51" t="s">
        <v>162</v>
      </c>
      <c r="K76" s="51" t="s">
        <v>210</v>
      </c>
      <c r="L76" s="51" t="s">
        <v>211</v>
      </c>
      <c r="M76" s="51"/>
      <c r="N76" s="81" t="s">
        <v>553</v>
      </c>
      <c r="O76" s="28">
        <v>1</v>
      </c>
      <c r="P76" s="34" t="str">
        <f t="shared" si="7"/>
        <v>12.1.1.1</v>
      </c>
      <c r="Q76" s="28" t="s">
        <v>212</v>
      </c>
      <c r="R76" s="28" t="s">
        <v>213</v>
      </c>
      <c r="S76" s="6" t="s">
        <v>597</v>
      </c>
      <c r="T76" s="41" t="s">
        <v>214</v>
      </c>
      <c r="U76" s="28"/>
      <c r="V76" s="28">
        <v>0</v>
      </c>
      <c r="W76" s="28">
        <v>2</v>
      </c>
      <c r="X76" s="28"/>
    </row>
    <row r="77" spans="1:24" ht="20.25" thickTop="1" thickBot="1" x14ac:dyDescent="0.3">
      <c r="A77" s="28">
        <v>12</v>
      </c>
      <c r="B77" s="43"/>
      <c r="C77" s="4">
        <f t="shared" si="8"/>
        <v>1</v>
      </c>
      <c r="D77" s="4">
        <f t="shared" ref="D77:D86" si="11">IF(I77="Nữ",IF((A77&lt;&gt;A76),0,D76),IF(A77&lt;&gt;A76,1,IF(ISBLANK(B77),D76,D76+1)))</f>
        <v>1</v>
      </c>
      <c r="E77" s="46"/>
      <c r="F77" s="43"/>
      <c r="G77" s="47"/>
      <c r="H77" s="47"/>
      <c r="I77" s="27" t="s">
        <v>593</v>
      </c>
      <c r="J77" s="51"/>
      <c r="K77" s="51"/>
      <c r="L77" s="51"/>
      <c r="M77" s="51"/>
      <c r="N77" s="83"/>
      <c r="O77" s="28">
        <v>2</v>
      </c>
      <c r="P77" s="34" t="str">
        <f>E76&amp;"."&amp;O77</f>
        <v>12.1.1.2</v>
      </c>
      <c r="Q77" s="28" t="s">
        <v>215</v>
      </c>
      <c r="R77" s="28"/>
      <c r="S77" s="41" t="s">
        <v>217</v>
      </c>
      <c r="T77" s="41" t="s">
        <v>216</v>
      </c>
      <c r="U77" s="28">
        <v>70</v>
      </c>
      <c r="V77" s="28">
        <v>0</v>
      </c>
      <c r="W77" s="28">
        <v>1</v>
      </c>
      <c r="X77" s="28"/>
    </row>
    <row r="78" spans="1:24" ht="20.25" thickTop="1" thickBot="1" x14ac:dyDescent="0.3">
      <c r="A78" s="28">
        <v>12</v>
      </c>
      <c r="B78" s="28">
        <v>1</v>
      </c>
      <c r="C78" s="4">
        <f t="shared" si="8"/>
        <v>2</v>
      </c>
      <c r="D78" s="4">
        <f t="shared" si="11"/>
        <v>2</v>
      </c>
      <c r="E78" s="28" t="str">
        <f t="shared" si="9"/>
        <v>12.1.2</v>
      </c>
      <c r="F78" s="28" t="str">
        <f>P46</f>
        <v>11.1.1.1</v>
      </c>
      <c r="G78" s="29" t="s">
        <v>583</v>
      </c>
      <c r="H78" s="29" t="s">
        <v>218</v>
      </c>
      <c r="I78" s="27" t="s">
        <v>593</v>
      </c>
      <c r="J78" s="31" t="s">
        <v>219</v>
      </c>
      <c r="K78" s="31" t="s">
        <v>220</v>
      </c>
      <c r="L78" s="31" t="s">
        <v>189</v>
      </c>
      <c r="M78" s="31"/>
      <c r="N78" s="31" t="s">
        <v>552</v>
      </c>
      <c r="O78" s="28">
        <v>1</v>
      </c>
      <c r="P78" s="34" t="str">
        <f t="shared" ref="P78:P92" si="12">E78&amp;"."&amp;O78</f>
        <v>12.1.2.1</v>
      </c>
      <c r="Q78" s="28" t="s">
        <v>221</v>
      </c>
      <c r="R78" s="28" t="s">
        <v>222</v>
      </c>
      <c r="S78" s="6" t="s">
        <v>597</v>
      </c>
      <c r="T78" s="31" t="s">
        <v>223</v>
      </c>
      <c r="U78" s="28"/>
      <c r="V78" s="28">
        <v>0</v>
      </c>
      <c r="W78" s="28">
        <v>0</v>
      </c>
      <c r="X78" s="28"/>
    </row>
    <row r="79" spans="1:24" ht="20.25" thickTop="1" thickBot="1" x14ac:dyDescent="0.3">
      <c r="A79" s="28">
        <v>12</v>
      </c>
      <c r="B79" s="28">
        <v>1</v>
      </c>
      <c r="C79" s="4">
        <f t="shared" si="8"/>
        <v>3</v>
      </c>
      <c r="D79" s="4">
        <f t="shared" si="11"/>
        <v>3</v>
      </c>
      <c r="E79" s="28" t="str">
        <f t="shared" si="9"/>
        <v>12.1.3</v>
      </c>
      <c r="F79" s="28" t="str">
        <f>P46</f>
        <v>11.1.1.1</v>
      </c>
      <c r="G79" s="29" t="s">
        <v>224</v>
      </c>
      <c r="H79" s="29" t="s">
        <v>225</v>
      </c>
      <c r="I79" s="27" t="s">
        <v>593</v>
      </c>
      <c r="J79" s="31" t="s">
        <v>108</v>
      </c>
      <c r="K79" s="31" t="s">
        <v>226</v>
      </c>
      <c r="L79" s="31" t="s">
        <v>227</v>
      </c>
      <c r="M79" s="31"/>
      <c r="N79" s="31" t="s">
        <v>552</v>
      </c>
      <c r="O79" s="28">
        <v>1</v>
      </c>
      <c r="P79" s="34" t="str">
        <f t="shared" si="12"/>
        <v>12.1.3.1</v>
      </c>
      <c r="Q79" s="28" t="s">
        <v>228</v>
      </c>
      <c r="R79" s="28"/>
      <c r="S79" s="31" t="s">
        <v>230</v>
      </c>
      <c r="T79" s="31" t="s">
        <v>229</v>
      </c>
      <c r="U79" s="28">
        <v>58</v>
      </c>
      <c r="V79" s="28">
        <v>2</v>
      </c>
      <c r="W79" s="28">
        <v>2</v>
      </c>
      <c r="X79" s="28"/>
    </row>
    <row r="80" spans="1:24" ht="20.25" thickTop="1" thickBot="1" x14ac:dyDescent="0.3">
      <c r="A80" s="28">
        <v>12</v>
      </c>
      <c r="B80" s="28">
        <v>1</v>
      </c>
      <c r="C80" s="4">
        <f t="shared" si="8"/>
        <v>4</v>
      </c>
      <c r="D80" s="4">
        <f t="shared" si="11"/>
        <v>4</v>
      </c>
      <c r="E80" s="28" t="str">
        <f t="shared" si="9"/>
        <v>12.1.4</v>
      </c>
      <c r="F80" s="28" t="str">
        <f>P46</f>
        <v>11.1.1.1</v>
      </c>
      <c r="G80" s="29"/>
      <c r="H80" s="29" t="s">
        <v>231</v>
      </c>
      <c r="I80" s="27" t="s">
        <v>593</v>
      </c>
      <c r="J80" s="31" t="s">
        <v>232</v>
      </c>
      <c r="K80" s="31" t="s">
        <v>236</v>
      </c>
      <c r="L80" s="31" t="s">
        <v>234</v>
      </c>
      <c r="M80" s="31" t="s">
        <v>235</v>
      </c>
      <c r="N80" s="31" t="s">
        <v>552</v>
      </c>
      <c r="O80" s="28">
        <v>1</v>
      </c>
      <c r="P80" s="34" t="str">
        <f t="shared" si="12"/>
        <v>12.1.4.1</v>
      </c>
      <c r="Q80" s="28" t="s">
        <v>237</v>
      </c>
      <c r="R80" s="28"/>
      <c r="S80" s="6" t="s">
        <v>597</v>
      </c>
      <c r="T80" s="31" t="s">
        <v>238</v>
      </c>
      <c r="U80" s="28"/>
      <c r="V80" s="28">
        <v>2</v>
      </c>
      <c r="W80" s="28">
        <v>0</v>
      </c>
      <c r="X80" s="28" t="s">
        <v>239</v>
      </c>
    </row>
    <row r="81" spans="1:24" ht="20.25" thickTop="1" thickBot="1" x14ac:dyDescent="0.3">
      <c r="A81" s="28">
        <v>12</v>
      </c>
      <c r="B81" s="28">
        <v>1</v>
      </c>
      <c r="C81" s="4">
        <f t="shared" si="8"/>
        <v>5</v>
      </c>
      <c r="D81" s="4">
        <f t="shared" si="11"/>
        <v>4</v>
      </c>
      <c r="E81" s="28" t="str">
        <f t="shared" si="9"/>
        <v>12.1.5</v>
      </c>
      <c r="F81" s="28" t="str">
        <f>P46</f>
        <v>11.1.1.1</v>
      </c>
      <c r="G81" s="29"/>
      <c r="H81" s="29" t="s">
        <v>532</v>
      </c>
      <c r="I81" s="27" t="s">
        <v>594</v>
      </c>
      <c r="J81" s="6" t="s">
        <v>597</v>
      </c>
      <c r="K81" s="6" t="s">
        <v>597</v>
      </c>
      <c r="L81" s="6" t="s">
        <v>597</v>
      </c>
      <c r="M81" s="31"/>
      <c r="N81" s="31" t="s">
        <v>556</v>
      </c>
      <c r="O81" s="28">
        <v>0</v>
      </c>
      <c r="P81" s="34" t="str">
        <f t="shared" si="12"/>
        <v>12.1.5.0</v>
      </c>
      <c r="Q81" s="28"/>
      <c r="R81" s="28"/>
      <c r="S81" s="6" t="s">
        <v>597</v>
      </c>
      <c r="T81" s="6" t="s">
        <v>597</v>
      </c>
      <c r="U81" s="28"/>
      <c r="V81" s="28">
        <v>0</v>
      </c>
      <c r="W81" s="28">
        <v>0</v>
      </c>
      <c r="X81" s="28"/>
    </row>
    <row r="82" spans="1:24" ht="20.25" thickTop="1" thickBot="1" x14ac:dyDescent="0.3">
      <c r="A82" s="28">
        <v>12</v>
      </c>
      <c r="B82" s="28">
        <v>1</v>
      </c>
      <c r="C82" s="4">
        <f t="shared" si="8"/>
        <v>6</v>
      </c>
      <c r="D82" s="4">
        <f t="shared" si="11"/>
        <v>4</v>
      </c>
      <c r="E82" s="28" t="str">
        <f t="shared" si="9"/>
        <v>12.1.6</v>
      </c>
      <c r="F82" s="28" t="str">
        <f>P46</f>
        <v>11.1.1.1</v>
      </c>
      <c r="G82" s="29"/>
      <c r="H82" s="29" t="s">
        <v>529</v>
      </c>
      <c r="I82" s="27" t="s">
        <v>594</v>
      </c>
      <c r="J82" s="6" t="s">
        <v>597</v>
      </c>
      <c r="K82" s="6" t="s">
        <v>597</v>
      </c>
      <c r="L82" s="6" t="s">
        <v>597</v>
      </c>
      <c r="M82" s="31"/>
      <c r="N82" s="31" t="s">
        <v>556</v>
      </c>
      <c r="O82" s="28">
        <v>0</v>
      </c>
      <c r="P82" s="34" t="str">
        <f t="shared" si="12"/>
        <v>12.1.6.0</v>
      </c>
      <c r="Q82" s="28"/>
      <c r="R82" s="28"/>
      <c r="S82" s="6" t="s">
        <v>597</v>
      </c>
      <c r="T82" s="6" t="s">
        <v>597</v>
      </c>
      <c r="U82" s="28"/>
      <c r="V82" s="28">
        <v>0</v>
      </c>
      <c r="W82" s="28">
        <v>0</v>
      </c>
      <c r="X82" s="28"/>
    </row>
    <row r="83" spans="1:24" ht="20.25" thickTop="1" thickBot="1" x14ac:dyDescent="0.3">
      <c r="A83" s="28">
        <v>12</v>
      </c>
      <c r="B83" s="28">
        <v>1</v>
      </c>
      <c r="C83" s="4">
        <f t="shared" si="8"/>
        <v>7</v>
      </c>
      <c r="D83" s="4">
        <f>IF(I83="Nữ",IF((A83&lt;&gt;A82),0,D82),IF(A83&lt;&gt;A82,1,IF(ISBLANK(B83),D82,D82+1)))</f>
        <v>4</v>
      </c>
      <c r="E83" s="28" t="str">
        <f t="shared" si="9"/>
        <v>12.1.7</v>
      </c>
      <c r="F83" s="28" t="str">
        <f>P46</f>
        <v>11.1.1.1</v>
      </c>
      <c r="G83" s="29"/>
      <c r="H83" s="29" t="s">
        <v>530</v>
      </c>
      <c r="I83" s="27" t="s">
        <v>594</v>
      </c>
      <c r="J83" s="6" t="s">
        <v>597</v>
      </c>
      <c r="K83" s="6" t="s">
        <v>597</v>
      </c>
      <c r="L83" s="6" t="s">
        <v>597</v>
      </c>
      <c r="M83" s="31"/>
      <c r="N83" s="31" t="s">
        <v>556</v>
      </c>
      <c r="O83" s="28">
        <v>0</v>
      </c>
      <c r="P83" s="34" t="str">
        <f t="shared" si="12"/>
        <v>12.1.7.0</v>
      </c>
      <c r="Q83" s="28"/>
      <c r="R83" s="28"/>
      <c r="S83" s="6" t="s">
        <v>597</v>
      </c>
      <c r="T83" s="6" t="s">
        <v>597</v>
      </c>
      <c r="U83" s="28"/>
      <c r="V83" s="28">
        <v>0</v>
      </c>
      <c r="W83" s="28">
        <v>0</v>
      </c>
      <c r="X83" s="28"/>
    </row>
    <row r="84" spans="1:24" ht="20.25" thickTop="1" thickBot="1" x14ac:dyDescent="0.3">
      <c r="A84" s="28">
        <v>12</v>
      </c>
      <c r="B84" s="28">
        <v>1</v>
      </c>
      <c r="C84" s="4">
        <f t="shared" si="8"/>
        <v>8</v>
      </c>
      <c r="D84" s="4">
        <f t="shared" si="11"/>
        <v>4</v>
      </c>
      <c r="E84" s="28" t="str">
        <f t="shared" si="9"/>
        <v>12.1.8</v>
      </c>
      <c r="F84" s="28" t="str">
        <f>P46</f>
        <v>11.1.1.1</v>
      </c>
      <c r="G84" s="29"/>
      <c r="H84" s="29" t="s">
        <v>531</v>
      </c>
      <c r="I84" s="27" t="s">
        <v>594</v>
      </c>
      <c r="J84" s="6" t="s">
        <v>597</v>
      </c>
      <c r="K84" s="6" t="s">
        <v>597</v>
      </c>
      <c r="L84" s="6" t="s">
        <v>597</v>
      </c>
      <c r="M84" s="31"/>
      <c r="N84" s="31" t="s">
        <v>556</v>
      </c>
      <c r="O84" s="28">
        <v>0</v>
      </c>
      <c r="P84" s="34" t="str">
        <f t="shared" si="12"/>
        <v>12.1.8.0</v>
      </c>
      <c r="Q84" s="28"/>
      <c r="R84" s="28"/>
      <c r="S84" s="6" t="s">
        <v>597</v>
      </c>
      <c r="T84" s="6" t="s">
        <v>597</v>
      </c>
      <c r="U84" s="28"/>
      <c r="V84" s="28">
        <v>0</v>
      </c>
      <c r="W84" s="28">
        <v>0</v>
      </c>
      <c r="X84" s="28"/>
    </row>
    <row r="85" spans="1:24" ht="20.25" thickTop="1" thickBot="1" x14ac:dyDescent="0.3">
      <c r="A85" s="28">
        <v>12</v>
      </c>
      <c r="B85" s="28">
        <v>1</v>
      </c>
      <c r="C85" s="4">
        <f t="shared" si="8"/>
        <v>9</v>
      </c>
      <c r="D85" s="4">
        <f t="shared" si="11"/>
        <v>5</v>
      </c>
      <c r="E85" s="28" t="str">
        <f t="shared" si="9"/>
        <v>12.1.9</v>
      </c>
      <c r="F85" s="28" t="str">
        <f>P47</f>
        <v>11.1.2.1</v>
      </c>
      <c r="G85" s="29"/>
      <c r="H85" s="29" t="s">
        <v>533</v>
      </c>
      <c r="I85" s="27" t="s">
        <v>593</v>
      </c>
      <c r="J85" s="31" t="s">
        <v>219</v>
      </c>
      <c r="K85" s="31" t="s">
        <v>242</v>
      </c>
      <c r="L85" s="31" t="s">
        <v>241</v>
      </c>
      <c r="M85" s="31"/>
      <c r="N85" s="31" t="s">
        <v>552</v>
      </c>
      <c r="O85" s="28">
        <v>1</v>
      </c>
      <c r="P85" s="34" t="str">
        <f t="shared" si="12"/>
        <v>12.1.9.1</v>
      </c>
      <c r="Q85" s="28" t="s">
        <v>243</v>
      </c>
      <c r="R85" s="28"/>
      <c r="S85" s="31" t="s">
        <v>164</v>
      </c>
      <c r="T85" s="31" t="s">
        <v>244</v>
      </c>
      <c r="U85" s="28">
        <v>71</v>
      </c>
      <c r="V85" s="28">
        <v>0</v>
      </c>
      <c r="W85" s="28">
        <v>2</v>
      </c>
      <c r="X85" s="28"/>
    </row>
    <row r="86" spans="1:24" ht="20.25" thickTop="1" thickBot="1" x14ac:dyDescent="0.3">
      <c r="A86" s="28">
        <v>12</v>
      </c>
      <c r="B86" s="28">
        <v>1</v>
      </c>
      <c r="C86" s="4">
        <f t="shared" si="8"/>
        <v>10</v>
      </c>
      <c r="D86" s="4">
        <f t="shared" si="11"/>
        <v>6</v>
      </c>
      <c r="E86" s="28" t="str">
        <f t="shared" si="9"/>
        <v>12.1.10</v>
      </c>
      <c r="F86" s="28" t="str">
        <f>P47</f>
        <v>11.1.2.1</v>
      </c>
      <c r="G86" s="29"/>
      <c r="H86" s="29" t="s">
        <v>534</v>
      </c>
      <c r="I86" s="27" t="s">
        <v>593</v>
      </c>
      <c r="J86" s="31" t="s">
        <v>245</v>
      </c>
      <c r="K86" s="6" t="s">
        <v>597</v>
      </c>
      <c r="L86" s="6" t="s">
        <v>597</v>
      </c>
      <c r="M86" s="31"/>
      <c r="N86" s="31" t="s">
        <v>552</v>
      </c>
      <c r="O86" s="28">
        <v>1</v>
      </c>
      <c r="P86" s="34" t="str">
        <f t="shared" si="12"/>
        <v>12.1.10.1</v>
      </c>
      <c r="Q86" s="28" t="s">
        <v>246</v>
      </c>
      <c r="R86" s="28"/>
      <c r="S86" s="6" t="s">
        <v>597</v>
      </c>
      <c r="T86" s="6" t="s">
        <v>597</v>
      </c>
      <c r="U86" s="28"/>
      <c r="V86" s="28">
        <v>2</v>
      </c>
      <c r="W86" s="28">
        <v>2</v>
      </c>
      <c r="X86" s="28"/>
    </row>
    <row r="87" spans="1:24" ht="20.25" thickTop="1" thickBot="1" x14ac:dyDescent="0.3">
      <c r="A87" s="28">
        <v>12</v>
      </c>
      <c r="B87" s="28">
        <v>1</v>
      </c>
      <c r="C87" s="4">
        <f t="shared" si="8"/>
        <v>11</v>
      </c>
      <c r="D87" s="4">
        <f>IF(I87="Nữ",IF((A87&lt;&gt;A86),0,D86),IF(A87&lt;&gt;A86,1,IF(ISBLANK(B87),D86,D86+1)))</f>
        <v>6</v>
      </c>
      <c r="E87" s="28" t="str">
        <f t="shared" si="9"/>
        <v>12.1.11</v>
      </c>
      <c r="F87" s="28" t="str">
        <f>P47</f>
        <v>11.1.2.1</v>
      </c>
      <c r="G87" s="29"/>
      <c r="H87" s="29" t="s">
        <v>535</v>
      </c>
      <c r="I87" s="27" t="s">
        <v>594</v>
      </c>
      <c r="J87" s="6" t="s">
        <v>597</v>
      </c>
      <c r="K87" s="6" t="s">
        <v>597</v>
      </c>
      <c r="L87" s="6" t="s">
        <v>597</v>
      </c>
      <c r="M87" s="31"/>
      <c r="N87" s="31" t="s">
        <v>556</v>
      </c>
      <c r="O87" s="28">
        <v>0</v>
      </c>
      <c r="P87" s="34" t="str">
        <f t="shared" si="12"/>
        <v>12.1.11.0</v>
      </c>
      <c r="Q87" s="28"/>
      <c r="R87" s="28"/>
      <c r="S87" s="6" t="s">
        <v>597</v>
      </c>
      <c r="T87" s="6" t="s">
        <v>597</v>
      </c>
      <c r="U87" s="28"/>
      <c r="V87" s="28">
        <v>0</v>
      </c>
      <c r="W87" s="28">
        <v>0</v>
      </c>
      <c r="X87" s="28"/>
    </row>
    <row r="88" spans="1:24" ht="20.25" thickTop="1" thickBot="1" x14ac:dyDescent="0.3">
      <c r="A88" s="28">
        <v>12</v>
      </c>
      <c r="B88" s="28">
        <v>1</v>
      </c>
      <c r="C88" s="4">
        <f t="shared" si="8"/>
        <v>12</v>
      </c>
      <c r="D88" s="4">
        <f t="shared" ref="D88:D120" si="13">IF(I88="Nữ",IF((A88&lt;&gt;A87),0,D87),IF(A88&lt;&gt;A87,1,IF(ISBLANK(B88),D87,D87+1)))</f>
        <v>6</v>
      </c>
      <c r="E88" s="28" t="str">
        <f t="shared" si="9"/>
        <v>12.1.12</v>
      </c>
      <c r="F88" s="28" t="str">
        <f>P47</f>
        <v>11.1.2.1</v>
      </c>
      <c r="G88" s="29"/>
      <c r="H88" s="29" t="s">
        <v>536</v>
      </c>
      <c r="I88" s="27" t="s">
        <v>594</v>
      </c>
      <c r="J88" s="6" t="s">
        <v>597</v>
      </c>
      <c r="K88" s="6" t="s">
        <v>597</v>
      </c>
      <c r="L88" s="6" t="s">
        <v>597</v>
      </c>
      <c r="M88" s="31"/>
      <c r="N88" s="31" t="s">
        <v>556</v>
      </c>
      <c r="O88" s="28">
        <v>0</v>
      </c>
      <c r="P88" s="34" t="str">
        <f t="shared" si="12"/>
        <v>12.1.12.0</v>
      </c>
      <c r="Q88" s="28"/>
      <c r="R88" s="28"/>
      <c r="S88" s="6" t="s">
        <v>597</v>
      </c>
      <c r="T88" s="6" t="s">
        <v>597</v>
      </c>
      <c r="U88" s="28"/>
      <c r="V88" s="28">
        <v>0</v>
      </c>
      <c r="W88" s="28">
        <v>0</v>
      </c>
      <c r="X88" s="28"/>
    </row>
    <row r="89" spans="1:24" ht="20.25" thickTop="1" thickBot="1" x14ac:dyDescent="0.3">
      <c r="A89" s="28">
        <v>12</v>
      </c>
      <c r="B89" s="28">
        <v>1</v>
      </c>
      <c r="C89" s="4">
        <f t="shared" si="8"/>
        <v>13</v>
      </c>
      <c r="D89" s="4">
        <f t="shared" si="13"/>
        <v>7</v>
      </c>
      <c r="E89" s="28" t="str">
        <f t="shared" si="9"/>
        <v>12.1.13</v>
      </c>
      <c r="F89" s="28" t="str">
        <f>P48</f>
        <v>11.1.2.2</v>
      </c>
      <c r="G89" s="29"/>
      <c r="H89" s="29" t="s">
        <v>247</v>
      </c>
      <c r="I89" s="27" t="s">
        <v>593</v>
      </c>
      <c r="J89" s="6" t="s">
        <v>597</v>
      </c>
      <c r="K89" s="6" t="s">
        <v>597</v>
      </c>
      <c r="L89" s="6" t="s">
        <v>597</v>
      </c>
      <c r="M89" s="31" t="s">
        <v>248</v>
      </c>
      <c r="N89" s="31" t="s">
        <v>552</v>
      </c>
      <c r="O89" s="28">
        <v>1</v>
      </c>
      <c r="P89" s="34" t="str">
        <f t="shared" si="12"/>
        <v>12.1.13.1</v>
      </c>
      <c r="Q89" s="16" t="s">
        <v>249</v>
      </c>
      <c r="R89" s="28"/>
      <c r="S89" s="6" t="s">
        <v>597</v>
      </c>
      <c r="T89" s="6" t="s">
        <v>597</v>
      </c>
      <c r="U89" s="28"/>
      <c r="V89" s="28">
        <v>0</v>
      </c>
      <c r="W89" s="28">
        <v>0</v>
      </c>
      <c r="X89" s="28"/>
    </row>
    <row r="90" spans="1:24" ht="20.25" thickTop="1" thickBot="1" x14ac:dyDescent="0.3">
      <c r="A90" s="28">
        <v>12</v>
      </c>
      <c r="B90" s="28">
        <v>1</v>
      </c>
      <c r="C90" s="4">
        <f t="shared" si="8"/>
        <v>14</v>
      </c>
      <c r="D90" s="4">
        <f t="shared" si="13"/>
        <v>7</v>
      </c>
      <c r="E90" s="28" t="str">
        <f t="shared" si="9"/>
        <v>12.1.14</v>
      </c>
      <c r="F90" s="28" t="str">
        <f>P48</f>
        <v>11.1.2.2</v>
      </c>
      <c r="G90" s="29"/>
      <c r="H90" s="29" t="s">
        <v>537</v>
      </c>
      <c r="I90" s="27" t="s">
        <v>594</v>
      </c>
      <c r="J90" s="6" t="s">
        <v>597</v>
      </c>
      <c r="K90" s="6" t="s">
        <v>597</v>
      </c>
      <c r="L90" s="6" t="s">
        <v>597</v>
      </c>
      <c r="M90" s="31"/>
      <c r="N90" s="31" t="s">
        <v>556</v>
      </c>
      <c r="O90" s="28">
        <v>0</v>
      </c>
      <c r="P90" s="34" t="str">
        <f t="shared" si="12"/>
        <v>12.1.14.0</v>
      </c>
      <c r="Q90" s="16"/>
      <c r="R90" s="28"/>
      <c r="S90" s="6" t="s">
        <v>597</v>
      </c>
      <c r="T90" s="6" t="s">
        <v>597</v>
      </c>
      <c r="U90" s="28"/>
      <c r="V90" s="28">
        <v>0</v>
      </c>
      <c r="W90" s="28">
        <v>0</v>
      </c>
      <c r="X90" s="28"/>
    </row>
    <row r="91" spans="1:24" ht="20.25" thickTop="1" thickBot="1" x14ac:dyDescent="0.3">
      <c r="A91" s="28">
        <v>12</v>
      </c>
      <c r="B91" s="28">
        <v>1</v>
      </c>
      <c r="C91" s="4">
        <f t="shared" si="8"/>
        <v>15</v>
      </c>
      <c r="D91" s="4">
        <f t="shared" si="13"/>
        <v>7</v>
      </c>
      <c r="E91" s="28" t="str">
        <f t="shared" si="9"/>
        <v>12.1.15</v>
      </c>
      <c r="F91" s="28" t="str">
        <f>P48</f>
        <v>11.1.2.2</v>
      </c>
      <c r="G91" s="29"/>
      <c r="H91" s="29" t="s">
        <v>483</v>
      </c>
      <c r="I91" s="27" t="s">
        <v>594</v>
      </c>
      <c r="J91" s="6" t="s">
        <v>597</v>
      </c>
      <c r="K91" s="6" t="s">
        <v>597</v>
      </c>
      <c r="L91" s="6" t="s">
        <v>597</v>
      </c>
      <c r="M91" s="31"/>
      <c r="N91" s="31" t="s">
        <v>556</v>
      </c>
      <c r="O91" s="28">
        <v>0</v>
      </c>
      <c r="P91" s="34" t="str">
        <f t="shared" si="12"/>
        <v>12.1.15.0</v>
      </c>
      <c r="Q91" s="16"/>
      <c r="R91" s="28"/>
      <c r="S91" s="6" t="s">
        <v>597</v>
      </c>
      <c r="T91" s="6" t="s">
        <v>597</v>
      </c>
      <c r="U91" s="28"/>
      <c r="V91" s="28">
        <v>0</v>
      </c>
      <c r="W91" s="28">
        <v>0</v>
      </c>
      <c r="X91" s="28"/>
    </row>
    <row r="92" spans="1:24" ht="20.25" thickTop="1" thickBot="1" x14ac:dyDescent="0.3">
      <c r="A92" s="28">
        <v>12</v>
      </c>
      <c r="B92" s="43">
        <v>1</v>
      </c>
      <c r="C92" s="4">
        <f t="shared" si="8"/>
        <v>16</v>
      </c>
      <c r="D92" s="4">
        <f t="shared" si="13"/>
        <v>8</v>
      </c>
      <c r="E92" s="44" t="str">
        <f t="shared" si="9"/>
        <v>12.1.16</v>
      </c>
      <c r="F92" s="43" t="str">
        <f>P49</f>
        <v>11.1.3.1</v>
      </c>
      <c r="G92" s="47"/>
      <c r="H92" s="47" t="s">
        <v>250</v>
      </c>
      <c r="I92" s="27" t="s">
        <v>593</v>
      </c>
      <c r="J92" s="51" t="s">
        <v>232</v>
      </c>
      <c r="K92" s="51" t="s">
        <v>251</v>
      </c>
      <c r="L92" s="51" t="s">
        <v>252</v>
      </c>
      <c r="M92" s="51"/>
      <c r="N92" s="81" t="s">
        <v>553</v>
      </c>
      <c r="O92" s="28">
        <v>1</v>
      </c>
      <c r="P92" s="34" t="str">
        <f t="shared" si="12"/>
        <v>12.1.16.1</v>
      </c>
      <c r="Q92" s="28" t="s">
        <v>253</v>
      </c>
      <c r="R92" s="28"/>
      <c r="S92" s="6" t="s">
        <v>597</v>
      </c>
      <c r="T92" s="31" t="s">
        <v>254</v>
      </c>
      <c r="U92" s="28"/>
      <c r="V92" s="28">
        <v>0</v>
      </c>
      <c r="W92" s="28">
        <v>1</v>
      </c>
      <c r="X92" s="28"/>
    </row>
    <row r="93" spans="1:24" ht="20.25" thickTop="1" thickBot="1" x14ac:dyDescent="0.3">
      <c r="A93" s="28">
        <v>12</v>
      </c>
      <c r="B93" s="43"/>
      <c r="C93" s="4">
        <f t="shared" si="8"/>
        <v>16</v>
      </c>
      <c r="D93" s="4">
        <f t="shared" si="13"/>
        <v>8</v>
      </c>
      <c r="E93" s="46"/>
      <c r="F93" s="43"/>
      <c r="G93" s="47"/>
      <c r="H93" s="47"/>
      <c r="I93" s="27" t="s">
        <v>593</v>
      </c>
      <c r="J93" s="51"/>
      <c r="K93" s="51"/>
      <c r="L93" s="51"/>
      <c r="M93" s="51"/>
      <c r="N93" s="83"/>
      <c r="O93" s="28">
        <v>2</v>
      </c>
      <c r="P93" s="34" t="str">
        <f>E92&amp;"."&amp;O93</f>
        <v>12.1.16.2</v>
      </c>
      <c r="Q93" s="28" t="s">
        <v>255</v>
      </c>
      <c r="R93" s="28"/>
      <c r="S93" s="6" t="s">
        <v>597</v>
      </c>
      <c r="T93" s="6" t="s">
        <v>597</v>
      </c>
      <c r="U93" s="28"/>
      <c r="V93" s="28">
        <v>2</v>
      </c>
      <c r="W93" s="28">
        <v>4</v>
      </c>
      <c r="X93" s="28"/>
    </row>
    <row r="94" spans="1:24" ht="20.25" thickTop="1" thickBot="1" x14ac:dyDescent="0.3">
      <c r="A94" s="28">
        <v>12</v>
      </c>
      <c r="B94" s="28">
        <v>1</v>
      </c>
      <c r="C94" s="4">
        <f t="shared" si="8"/>
        <v>17</v>
      </c>
      <c r="D94" s="4">
        <f>IF(I94="Nữ",IF((A94&lt;&gt;A93),0,D93),IF(A94&lt;&gt;A93,1,IF(ISBLANK(B94),D93,D93+1)))</f>
        <v>9</v>
      </c>
      <c r="E94" s="28" t="str">
        <f t="shared" si="9"/>
        <v>12.1.17</v>
      </c>
      <c r="F94" s="28" t="str">
        <f>P50</f>
        <v>11.1.4.1</v>
      </c>
      <c r="G94" s="29"/>
      <c r="H94" s="29" t="s">
        <v>256</v>
      </c>
      <c r="I94" s="27" t="s">
        <v>593</v>
      </c>
      <c r="J94" s="31" t="s">
        <v>259</v>
      </c>
      <c r="K94" s="31"/>
      <c r="L94" s="31"/>
      <c r="M94" s="31"/>
      <c r="N94" s="31" t="s">
        <v>552</v>
      </c>
      <c r="O94" s="28">
        <v>1</v>
      </c>
      <c r="P94" s="34" t="str">
        <f t="shared" ref="P94:P110" si="14">E94&amp;"."&amp;O94</f>
        <v>12.1.17.1</v>
      </c>
      <c r="Q94" s="28" t="s">
        <v>260</v>
      </c>
      <c r="R94" s="28"/>
      <c r="S94" s="31" t="s">
        <v>261</v>
      </c>
      <c r="T94" s="6" t="s">
        <v>597</v>
      </c>
      <c r="U94" s="28"/>
      <c r="V94" s="28">
        <v>3</v>
      </c>
      <c r="W94" s="28">
        <v>2</v>
      </c>
      <c r="X94" s="28"/>
    </row>
    <row r="95" spans="1:24" ht="20.25" thickTop="1" thickBot="1" x14ac:dyDescent="0.3">
      <c r="A95" s="28">
        <v>12</v>
      </c>
      <c r="B95" s="28">
        <v>1</v>
      </c>
      <c r="C95" s="4">
        <f t="shared" si="8"/>
        <v>18</v>
      </c>
      <c r="D95" s="4">
        <f t="shared" si="13"/>
        <v>10</v>
      </c>
      <c r="E95" s="28" t="str">
        <f t="shared" si="9"/>
        <v>12.1.18</v>
      </c>
      <c r="F95" s="28" t="str">
        <f>P50</f>
        <v>11.1.4.1</v>
      </c>
      <c r="G95" s="29"/>
      <c r="H95" s="29" t="s">
        <v>257</v>
      </c>
      <c r="I95" s="27" t="s">
        <v>593</v>
      </c>
      <c r="J95" s="31" t="s">
        <v>261</v>
      </c>
      <c r="K95" s="41" t="s">
        <v>262</v>
      </c>
      <c r="L95" s="31" t="s">
        <v>263</v>
      </c>
      <c r="M95" s="41" t="s">
        <v>235</v>
      </c>
      <c r="N95" s="24" t="s">
        <v>552</v>
      </c>
      <c r="O95" s="28">
        <v>1</v>
      </c>
      <c r="P95" s="34" t="str">
        <f t="shared" si="14"/>
        <v>12.1.18.1</v>
      </c>
      <c r="Q95" s="28" t="s">
        <v>264</v>
      </c>
      <c r="R95" s="28"/>
      <c r="S95" s="6" t="s">
        <v>597</v>
      </c>
      <c r="T95" s="6" t="s">
        <v>597</v>
      </c>
      <c r="U95" s="28"/>
      <c r="V95" s="28">
        <v>0</v>
      </c>
      <c r="W95" s="28">
        <v>0</v>
      </c>
      <c r="X95" s="28" t="s">
        <v>265</v>
      </c>
    </row>
    <row r="96" spans="1:24" ht="20.25" thickTop="1" thickBot="1" x14ac:dyDescent="0.3">
      <c r="A96" s="28">
        <v>12</v>
      </c>
      <c r="B96" s="28">
        <v>1</v>
      </c>
      <c r="C96" s="4">
        <f t="shared" si="8"/>
        <v>19</v>
      </c>
      <c r="D96" s="4">
        <f t="shared" si="13"/>
        <v>11</v>
      </c>
      <c r="E96" s="28" t="str">
        <f t="shared" si="9"/>
        <v>12.1.19</v>
      </c>
      <c r="F96" s="28" t="str">
        <f>P50</f>
        <v>11.1.4.1</v>
      </c>
      <c r="G96" s="29" t="s">
        <v>584</v>
      </c>
      <c r="H96" s="29" t="s">
        <v>258</v>
      </c>
      <c r="I96" s="27" t="s">
        <v>593</v>
      </c>
      <c r="J96" s="31" t="s">
        <v>267</v>
      </c>
      <c r="K96" s="6" t="s">
        <v>597</v>
      </c>
      <c r="L96" s="6" t="s">
        <v>597</v>
      </c>
      <c r="M96" s="31"/>
      <c r="N96" s="31" t="s">
        <v>556</v>
      </c>
      <c r="O96" s="28">
        <v>0</v>
      </c>
      <c r="P96" s="34" t="str">
        <f t="shared" si="14"/>
        <v>12.1.19.0</v>
      </c>
      <c r="Q96" s="28"/>
      <c r="R96" s="28"/>
      <c r="S96" s="6" t="s">
        <v>597</v>
      </c>
      <c r="T96" s="6" t="s">
        <v>597</v>
      </c>
      <c r="U96" s="28"/>
      <c r="V96" s="28">
        <v>0</v>
      </c>
      <c r="W96" s="28">
        <v>0</v>
      </c>
      <c r="X96" s="28"/>
    </row>
    <row r="97" spans="1:24" ht="20.25" thickTop="1" thickBot="1" x14ac:dyDescent="0.3">
      <c r="A97" s="28">
        <v>12</v>
      </c>
      <c r="B97" s="28">
        <v>1</v>
      </c>
      <c r="C97" s="4">
        <f t="shared" si="8"/>
        <v>20</v>
      </c>
      <c r="D97" s="4">
        <f t="shared" si="13"/>
        <v>11</v>
      </c>
      <c r="E97" s="28" t="str">
        <f t="shared" si="9"/>
        <v>12.1.20</v>
      </c>
      <c r="F97" s="28" t="str">
        <f>P50</f>
        <v>11.1.4.1</v>
      </c>
      <c r="G97" s="29"/>
      <c r="H97" s="29" t="s">
        <v>538</v>
      </c>
      <c r="I97" s="27" t="s">
        <v>594</v>
      </c>
      <c r="J97" s="6" t="s">
        <v>597</v>
      </c>
      <c r="K97" s="6" t="s">
        <v>597</v>
      </c>
      <c r="L97" s="6" t="s">
        <v>597</v>
      </c>
      <c r="M97" s="31"/>
      <c r="N97" s="31" t="s">
        <v>556</v>
      </c>
      <c r="O97" s="28">
        <v>0</v>
      </c>
      <c r="P97" s="34" t="str">
        <f t="shared" si="14"/>
        <v>12.1.20.0</v>
      </c>
      <c r="Q97" s="28"/>
      <c r="R97" s="28"/>
      <c r="S97" s="6" t="s">
        <v>597</v>
      </c>
      <c r="T97" s="6" t="s">
        <v>597</v>
      </c>
      <c r="U97" s="28"/>
      <c r="V97" s="28">
        <v>0</v>
      </c>
      <c r="W97" s="28">
        <v>0</v>
      </c>
      <c r="X97" s="28"/>
    </row>
    <row r="98" spans="1:24" ht="20.25" thickTop="1" thickBot="1" x14ac:dyDescent="0.3">
      <c r="A98" s="28">
        <v>12</v>
      </c>
      <c r="B98" s="28">
        <v>1</v>
      </c>
      <c r="C98" s="4">
        <f t="shared" si="8"/>
        <v>21</v>
      </c>
      <c r="D98" s="4">
        <f t="shared" si="13"/>
        <v>11</v>
      </c>
      <c r="E98" s="28" t="str">
        <f t="shared" si="9"/>
        <v>12.1.21</v>
      </c>
      <c r="F98" s="28" t="str">
        <f>P50</f>
        <v>11.1.4.1</v>
      </c>
      <c r="G98" s="29"/>
      <c r="H98" s="29" t="s">
        <v>539</v>
      </c>
      <c r="I98" s="27" t="s">
        <v>594</v>
      </c>
      <c r="J98" s="6" t="s">
        <v>597</v>
      </c>
      <c r="K98" s="6" t="s">
        <v>597</v>
      </c>
      <c r="L98" s="6" t="s">
        <v>597</v>
      </c>
      <c r="M98" s="31"/>
      <c r="N98" s="31" t="s">
        <v>556</v>
      </c>
      <c r="O98" s="28">
        <v>0</v>
      </c>
      <c r="P98" s="34" t="str">
        <f t="shared" si="14"/>
        <v>12.1.21.0</v>
      </c>
      <c r="Q98" s="28"/>
      <c r="R98" s="28"/>
      <c r="S98" s="6" t="s">
        <v>597</v>
      </c>
      <c r="T98" s="6" t="s">
        <v>597</v>
      </c>
      <c r="U98" s="28"/>
      <c r="V98" s="28">
        <v>0</v>
      </c>
      <c r="W98" s="28">
        <v>0</v>
      </c>
      <c r="X98" s="28"/>
    </row>
    <row r="99" spans="1:24" ht="20.25" thickTop="1" thickBot="1" x14ac:dyDescent="0.3">
      <c r="A99" s="28">
        <v>12</v>
      </c>
      <c r="B99" s="28">
        <v>1</v>
      </c>
      <c r="C99" s="4">
        <f t="shared" si="8"/>
        <v>22</v>
      </c>
      <c r="D99" s="4">
        <f t="shared" si="13"/>
        <v>11</v>
      </c>
      <c r="E99" s="28" t="str">
        <f t="shared" si="9"/>
        <v>12.1.22</v>
      </c>
      <c r="F99" s="28" t="str">
        <f>P50</f>
        <v>11.1.4.1</v>
      </c>
      <c r="G99" s="29"/>
      <c r="H99" s="29" t="s">
        <v>540</v>
      </c>
      <c r="I99" s="27" t="s">
        <v>594</v>
      </c>
      <c r="J99" s="6" t="s">
        <v>597</v>
      </c>
      <c r="K99" s="6" t="s">
        <v>597</v>
      </c>
      <c r="L99" s="6" t="s">
        <v>597</v>
      </c>
      <c r="M99" s="31"/>
      <c r="N99" s="31" t="s">
        <v>556</v>
      </c>
      <c r="O99" s="28">
        <v>0</v>
      </c>
      <c r="P99" s="34" t="str">
        <f t="shared" si="14"/>
        <v>12.1.22.0</v>
      </c>
      <c r="Q99" s="28"/>
      <c r="R99" s="28"/>
      <c r="S99" s="6" t="s">
        <v>597</v>
      </c>
      <c r="T99" s="6" t="s">
        <v>597</v>
      </c>
      <c r="U99" s="28"/>
      <c r="V99" s="28">
        <v>0</v>
      </c>
      <c r="W99" s="28">
        <v>0</v>
      </c>
      <c r="X99" s="28"/>
    </row>
    <row r="100" spans="1:24" ht="20.25" thickTop="1" thickBot="1" x14ac:dyDescent="0.3">
      <c r="A100" s="28">
        <v>12</v>
      </c>
      <c r="B100" s="28">
        <v>1</v>
      </c>
      <c r="C100" s="4">
        <f t="shared" si="8"/>
        <v>23</v>
      </c>
      <c r="D100" s="4">
        <f t="shared" si="13"/>
        <v>12</v>
      </c>
      <c r="E100" s="28" t="str">
        <f t="shared" si="9"/>
        <v>12.1.23</v>
      </c>
      <c r="F100" s="28" t="str">
        <f>P54</f>
        <v>11.1.8.1</v>
      </c>
      <c r="G100" s="29" t="s">
        <v>585</v>
      </c>
      <c r="H100" s="29"/>
      <c r="I100" s="27" t="s">
        <v>593</v>
      </c>
      <c r="J100" s="31" t="s">
        <v>267</v>
      </c>
      <c r="K100" s="31" t="s">
        <v>268</v>
      </c>
      <c r="L100" s="6" t="s">
        <v>597</v>
      </c>
      <c r="M100" s="31" t="s">
        <v>235</v>
      </c>
      <c r="N100" s="31" t="s">
        <v>556</v>
      </c>
      <c r="O100" s="28">
        <v>0</v>
      </c>
      <c r="P100" s="34" t="str">
        <f t="shared" si="14"/>
        <v>12.1.23.0</v>
      </c>
      <c r="Q100" s="28"/>
      <c r="R100" s="28"/>
      <c r="S100" s="6" t="s">
        <v>597</v>
      </c>
      <c r="T100" s="6" t="s">
        <v>597</v>
      </c>
      <c r="U100" s="28"/>
      <c r="V100" s="28">
        <v>0</v>
      </c>
      <c r="W100" s="28">
        <v>0</v>
      </c>
      <c r="X100" s="28"/>
    </row>
    <row r="101" spans="1:24" ht="20.25" thickTop="1" thickBot="1" x14ac:dyDescent="0.3">
      <c r="A101" s="28">
        <v>12</v>
      </c>
      <c r="B101" s="28">
        <v>1</v>
      </c>
      <c r="C101" s="4">
        <f t="shared" si="8"/>
        <v>24</v>
      </c>
      <c r="D101" s="4">
        <f>IF(I101="Nữ",IF((A101&lt;&gt;A100),0,D100),IF(A101&lt;&gt;A100,1,IF(ISBLANK(B101),D100,D100+1)))</f>
        <v>12</v>
      </c>
      <c r="E101" s="28" t="str">
        <f t="shared" si="9"/>
        <v>12.1.24</v>
      </c>
      <c r="F101" s="28" t="str">
        <f>P54</f>
        <v>11.1.8.1</v>
      </c>
      <c r="G101" s="29"/>
      <c r="H101" s="29" t="s">
        <v>541</v>
      </c>
      <c r="I101" s="27" t="s">
        <v>594</v>
      </c>
      <c r="J101" s="6" t="s">
        <v>597</v>
      </c>
      <c r="K101" s="6" t="s">
        <v>597</v>
      </c>
      <c r="L101" s="6" t="s">
        <v>597</v>
      </c>
      <c r="M101" s="31"/>
      <c r="N101" s="31" t="s">
        <v>556</v>
      </c>
      <c r="O101" s="28">
        <v>0</v>
      </c>
      <c r="P101" s="34" t="str">
        <f t="shared" si="14"/>
        <v>12.1.24.0</v>
      </c>
      <c r="Q101" s="28"/>
      <c r="R101" s="28"/>
      <c r="S101" s="6" t="s">
        <v>597</v>
      </c>
      <c r="T101" s="6" t="s">
        <v>597</v>
      </c>
      <c r="U101" s="28"/>
      <c r="V101" s="28">
        <v>0</v>
      </c>
      <c r="W101" s="28">
        <v>0</v>
      </c>
      <c r="X101" s="28"/>
    </row>
    <row r="102" spans="1:24" ht="20.25" thickTop="1" thickBot="1" x14ac:dyDescent="0.3">
      <c r="A102" s="28">
        <v>12</v>
      </c>
      <c r="B102" s="28">
        <v>1</v>
      </c>
      <c r="C102" s="4">
        <f t="shared" si="8"/>
        <v>25</v>
      </c>
      <c r="D102" s="4">
        <f t="shared" si="13"/>
        <v>12</v>
      </c>
      <c r="E102" s="28" t="str">
        <f t="shared" si="9"/>
        <v>12.1.25</v>
      </c>
      <c r="F102" s="28" t="str">
        <f>P54</f>
        <v>11.1.8.1</v>
      </c>
      <c r="G102" s="29"/>
      <c r="H102" s="29" t="s">
        <v>542</v>
      </c>
      <c r="I102" s="27" t="s">
        <v>594</v>
      </c>
      <c r="J102" s="6" t="s">
        <v>597</v>
      </c>
      <c r="K102" s="6" t="s">
        <v>597</v>
      </c>
      <c r="L102" s="6" t="s">
        <v>597</v>
      </c>
      <c r="M102" s="31"/>
      <c r="N102" s="31" t="s">
        <v>556</v>
      </c>
      <c r="O102" s="28">
        <v>0</v>
      </c>
      <c r="P102" s="34" t="str">
        <f t="shared" si="14"/>
        <v>12.1.25.0</v>
      </c>
      <c r="Q102" s="28"/>
      <c r="R102" s="28"/>
      <c r="S102" s="6" t="s">
        <v>597</v>
      </c>
      <c r="T102" s="6" t="s">
        <v>597</v>
      </c>
      <c r="U102" s="28"/>
      <c r="V102" s="28">
        <v>0</v>
      </c>
      <c r="W102" s="28">
        <v>0</v>
      </c>
      <c r="X102" s="28"/>
    </row>
    <row r="103" spans="1:24" ht="20.25" thickTop="1" thickBot="1" x14ac:dyDescent="0.3">
      <c r="A103" s="28">
        <v>12</v>
      </c>
      <c r="B103" s="28">
        <v>1</v>
      </c>
      <c r="C103" s="4">
        <f t="shared" si="8"/>
        <v>26</v>
      </c>
      <c r="D103" s="4">
        <f>IF(I103="Nữ",IF((A103&lt;&gt;A102),0,D102),IF(A103&lt;&gt;A102,1,IF(ISBLANK(B103),D102,D102+1)))</f>
        <v>12</v>
      </c>
      <c r="E103" s="28" t="str">
        <f t="shared" si="9"/>
        <v>12.1.26</v>
      </c>
      <c r="F103" s="28" t="str">
        <f>P54</f>
        <v>11.1.8.1</v>
      </c>
      <c r="G103" s="29"/>
      <c r="H103" s="29" t="s">
        <v>543</v>
      </c>
      <c r="I103" s="27" t="s">
        <v>594</v>
      </c>
      <c r="J103" s="6" t="s">
        <v>597</v>
      </c>
      <c r="K103" s="6" t="s">
        <v>597</v>
      </c>
      <c r="L103" s="6" t="s">
        <v>597</v>
      </c>
      <c r="M103" s="31"/>
      <c r="N103" s="31" t="s">
        <v>556</v>
      </c>
      <c r="O103" s="28">
        <v>0</v>
      </c>
      <c r="P103" s="34" t="str">
        <f t="shared" si="14"/>
        <v>12.1.26.0</v>
      </c>
      <c r="Q103" s="28"/>
      <c r="R103" s="28"/>
      <c r="S103" s="6" t="s">
        <v>597</v>
      </c>
      <c r="T103" s="6" t="s">
        <v>597</v>
      </c>
      <c r="U103" s="28"/>
      <c r="V103" s="28">
        <v>0</v>
      </c>
      <c r="W103" s="28">
        <v>0</v>
      </c>
      <c r="X103" s="28"/>
    </row>
    <row r="104" spans="1:24" ht="20.25" thickTop="1" thickBot="1" x14ac:dyDescent="0.3">
      <c r="A104" s="28">
        <v>12</v>
      </c>
      <c r="B104" s="28">
        <v>1</v>
      </c>
      <c r="C104" s="4">
        <f t="shared" si="8"/>
        <v>27</v>
      </c>
      <c r="D104" s="4">
        <f t="shared" si="13"/>
        <v>12</v>
      </c>
      <c r="E104" s="28" t="str">
        <f t="shared" si="9"/>
        <v>12.1.27</v>
      </c>
      <c r="F104" s="28" t="str">
        <f>P54</f>
        <v>11.1.8.1</v>
      </c>
      <c r="G104" s="29"/>
      <c r="H104" s="29" t="s">
        <v>479</v>
      </c>
      <c r="I104" s="27" t="s">
        <v>594</v>
      </c>
      <c r="J104" s="6" t="s">
        <v>597</v>
      </c>
      <c r="K104" s="6" t="s">
        <v>597</v>
      </c>
      <c r="L104" s="6" t="s">
        <v>597</v>
      </c>
      <c r="M104" s="31"/>
      <c r="N104" s="31" t="s">
        <v>556</v>
      </c>
      <c r="O104" s="28">
        <v>0</v>
      </c>
      <c r="P104" s="34" t="str">
        <f t="shared" si="14"/>
        <v>12.1.27.0</v>
      </c>
      <c r="Q104" s="28"/>
      <c r="R104" s="28"/>
      <c r="S104" s="6" t="s">
        <v>597</v>
      </c>
      <c r="T104" s="6" t="s">
        <v>597</v>
      </c>
      <c r="U104" s="28"/>
      <c r="V104" s="28">
        <v>0</v>
      </c>
      <c r="W104" s="28">
        <v>0</v>
      </c>
      <c r="X104" s="28"/>
    </row>
    <row r="105" spans="1:24" ht="20.25" thickTop="1" thickBot="1" x14ac:dyDescent="0.3">
      <c r="A105" s="28">
        <v>12</v>
      </c>
      <c r="B105" s="28">
        <v>1</v>
      </c>
      <c r="C105" s="4">
        <f t="shared" si="8"/>
        <v>28</v>
      </c>
      <c r="D105" s="4">
        <f t="shared" si="13"/>
        <v>12</v>
      </c>
      <c r="E105" s="28" t="str">
        <f t="shared" si="9"/>
        <v>12.1.28</v>
      </c>
      <c r="F105" s="28" t="str">
        <f>P54</f>
        <v>11.1.8.1</v>
      </c>
      <c r="G105" s="29"/>
      <c r="H105" s="29" t="s">
        <v>544</v>
      </c>
      <c r="I105" s="27" t="s">
        <v>594</v>
      </c>
      <c r="J105" s="6" t="s">
        <v>597</v>
      </c>
      <c r="K105" s="6" t="s">
        <v>597</v>
      </c>
      <c r="L105" s="6" t="s">
        <v>597</v>
      </c>
      <c r="M105" s="31"/>
      <c r="N105" s="31" t="s">
        <v>556</v>
      </c>
      <c r="O105" s="28">
        <v>0</v>
      </c>
      <c r="P105" s="34" t="str">
        <f t="shared" si="14"/>
        <v>12.1.28.0</v>
      </c>
      <c r="Q105" s="28"/>
      <c r="R105" s="28"/>
      <c r="S105" s="6" t="s">
        <v>597</v>
      </c>
      <c r="T105" s="6" t="s">
        <v>597</v>
      </c>
      <c r="U105" s="28"/>
      <c r="V105" s="28">
        <v>0</v>
      </c>
      <c r="W105" s="28">
        <v>0</v>
      </c>
      <c r="X105" s="28"/>
    </row>
    <row r="106" spans="1:24" ht="20.25" thickTop="1" thickBot="1" x14ac:dyDescent="0.3">
      <c r="A106" s="28">
        <v>12</v>
      </c>
      <c r="B106" s="28">
        <v>1</v>
      </c>
      <c r="C106" s="4">
        <f t="shared" si="8"/>
        <v>29</v>
      </c>
      <c r="D106" s="4">
        <f t="shared" si="13"/>
        <v>12</v>
      </c>
      <c r="E106" s="28" t="str">
        <f t="shared" si="9"/>
        <v>12.1.29</v>
      </c>
      <c r="F106" s="28" t="str">
        <f>P54</f>
        <v>11.1.8.1</v>
      </c>
      <c r="G106" s="29"/>
      <c r="H106" s="29" t="s">
        <v>545</v>
      </c>
      <c r="I106" s="27" t="s">
        <v>594</v>
      </c>
      <c r="J106" s="6" t="s">
        <v>597</v>
      </c>
      <c r="K106" s="6" t="s">
        <v>597</v>
      </c>
      <c r="L106" s="6" t="s">
        <v>597</v>
      </c>
      <c r="M106" s="31"/>
      <c r="N106" s="31" t="s">
        <v>556</v>
      </c>
      <c r="O106" s="28">
        <v>0</v>
      </c>
      <c r="P106" s="34" t="str">
        <f t="shared" si="14"/>
        <v>12.1.29.0</v>
      </c>
      <c r="Q106" s="28"/>
      <c r="R106" s="28"/>
      <c r="S106" s="6" t="s">
        <v>597</v>
      </c>
      <c r="T106" s="6" t="s">
        <v>597</v>
      </c>
      <c r="U106" s="28"/>
      <c r="V106" s="28">
        <v>0</v>
      </c>
      <c r="W106" s="28">
        <v>0</v>
      </c>
      <c r="X106" s="28"/>
    </row>
    <row r="107" spans="1:24" ht="20.25" thickTop="1" thickBot="1" x14ac:dyDescent="0.3">
      <c r="A107" s="28">
        <v>12</v>
      </c>
      <c r="B107" s="28">
        <v>1</v>
      </c>
      <c r="C107" s="4">
        <f t="shared" si="8"/>
        <v>30</v>
      </c>
      <c r="D107" s="4">
        <f t="shared" si="13"/>
        <v>12</v>
      </c>
      <c r="E107" s="28" t="str">
        <f t="shared" si="9"/>
        <v>12.1.30</v>
      </c>
      <c r="F107" s="28" t="str">
        <f>P55</f>
        <v>11.1.8.2</v>
      </c>
      <c r="G107" s="29"/>
      <c r="H107" s="29" t="s">
        <v>546</v>
      </c>
      <c r="I107" s="27" t="s">
        <v>594</v>
      </c>
      <c r="J107" s="6" t="s">
        <v>597</v>
      </c>
      <c r="K107" s="6" t="s">
        <v>597</v>
      </c>
      <c r="L107" s="6" t="s">
        <v>597</v>
      </c>
      <c r="M107" s="31"/>
      <c r="N107" s="31" t="s">
        <v>556</v>
      </c>
      <c r="O107" s="28">
        <v>0</v>
      </c>
      <c r="P107" s="34" t="str">
        <f t="shared" si="14"/>
        <v>12.1.30.0</v>
      </c>
      <c r="Q107" s="28"/>
      <c r="R107" s="28"/>
      <c r="S107" s="6" t="s">
        <v>597</v>
      </c>
      <c r="T107" s="6" t="s">
        <v>597</v>
      </c>
      <c r="U107" s="28"/>
      <c r="V107" s="28">
        <v>0</v>
      </c>
      <c r="W107" s="28">
        <v>0</v>
      </c>
      <c r="X107" s="28"/>
    </row>
    <row r="108" spans="1:24" ht="20.25" thickTop="1" thickBot="1" x14ac:dyDescent="0.3">
      <c r="A108" s="28">
        <v>12</v>
      </c>
      <c r="B108" s="28">
        <v>1</v>
      </c>
      <c r="C108" s="4">
        <f t="shared" si="8"/>
        <v>31</v>
      </c>
      <c r="D108" s="4">
        <f t="shared" si="13"/>
        <v>12</v>
      </c>
      <c r="E108" s="28" t="str">
        <f t="shared" si="9"/>
        <v>12.1.31</v>
      </c>
      <c r="F108" s="28" t="str">
        <f>P59</f>
        <v>11.1.11.2</v>
      </c>
      <c r="G108" s="29"/>
      <c r="H108" s="29" t="s">
        <v>547</v>
      </c>
      <c r="I108" s="27" t="s">
        <v>594</v>
      </c>
      <c r="J108" s="6" t="s">
        <v>597</v>
      </c>
      <c r="K108" s="6" t="s">
        <v>597</v>
      </c>
      <c r="L108" s="6" t="s">
        <v>597</v>
      </c>
      <c r="M108" s="31"/>
      <c r="N108" s="31" t="s">
        <v>556</v>
      </c>
      <c r="O108" s="28">
        <v>0</v>
      </c>
      <c r="P108" s="34" t="str">
        <f t="shared" si="14"/>
        <v>12.1.31.0</v>
      </c>
      <c r="Q108" s="28"/>
      <c r="R108" s="28"/>
      <c r="S108" s="6" t="s">
        <v>597</v>
      </c>
      <c r="T108" s="6" t="s">
        <v>597</v>
      </c>
      <c r="U108" s="28"/>
      <c r="V108" s="28">
        <v>0</v>
      </c>
      <c r="W108" s="28">
        <v>0</v>
      </c>
      <c r="X108" s="28"/>
    </row>
    <row r="109" spans="1:24" ht="20.25" thickTop="1" thickBot="1" x14ac:dyDescent="0.3">
      <c r="A109" s="28">
        <v>12</v>
      </c>
      <c r="B109" s="28">
        <v>1</v>
      </c>
      <c r="C109" s="4">
        <f t="shared" si="8"/>
        <v>32</v>
      </c>
      <c r="D109" s="4">
        <f t="shared" si="13"/>
        <v>13</v>
      </c>
      <c r="E109" s="28" t="str">
        <f t="shared" si="9"/>
        <v>12.1.32</v>
      </c>
      <c r="F109" s="28" t="str">
        <f>P60</f>
        <v>11.1.12.1</v>
      </c>
      <c r="G109" s="29"/>
      <c r="H109" s="29" t="s">
        <v>269</v>
      </c>
      <c r="I109" s="27" t="s">
        <v>593</v>
      </c>
      <c r="J109" s="6" t="s">
        <v>597</v>
      </c>
      <c r="K109" s="6" t="s">
        <v>597</v>
      </c>
      <c r="L109" s="6" t="s">
        <v>597</v>
      </c>
      <c r="M109" s="31"/>
      <c r="N109" s="31" t="s">
        <v>556</v>
      </c>
      <c r="O109" s="28">
        <v>0</v>
      </c>
      <c r="P109" s="34" t="str">
        <f t="shared" si="14"/>
        <v>12.1.32.0</v>
      </c>
      <c r="Q109" s="28"/>
      <c r="R109" s="28"/>
      <c r="S109" s="6" t="s">
        <v>597</v>
      </c>
      <c r="T109" s="6" t="s">
        <v>597</v>
      </c>
      <c r="U109" s="28"/>
      <c r="V109" s="28">
        <v>0</v>
      </c>
      <c r="W109" s="28">
        <v>0</v>
      </c>
      <c r="X109" s="28"/>
    </row>
    <row r="110" spans="1:24" ht="20.25" thickTop="1" thickBot="1" x14ac:dyDescent="0.3">
      <c r="A110" s="28">
        <v>12</v>
      </c>
      <c r="B110" s="43">
        <v>1</v>
      </c>
      <c r="C110" s="4">
        <f t="shared" si="8"/>
        <v>33</v>
      </c>
      <c r="D110" s="4">
        <f>IF(I110="Nữ",IF((A110&lt;&gt;A109),0,D109),IF(A110&lt;&gt;A109,1,IF(ISBLANK(B110),D109,D109+1)))</f>
        <v>14</v>
      </c>
      <c r="E110" s="44" t="str">
        <f t="shared" si="9"/>
        <v>12.1.33</v>
      </c>
      <c r="F110" s="43" t="str">
        <f>P65</f>
        <v>11.1.17.1</v>
      </c>
      <c r="G110" s="47"/>
      <c r="H110" s="47" t="s">
        <v>270</v>
      </c>
      <c r="I110" s="27" t="s">
        <v>593</v>
      </c>
      <c r="J110" s="51" t="s">
        <v>271</v>
      </c>
      <c r="K110" s="51" t="s">
        <v>272</v>
      </c>
      <c r="L110" s="74" t="s">
        <v>273</v>
      </c>
      <c r="M110" s="51"/>
      <c r="N110" s="81" t="s">
        <v>553</v>
      </c>
      <c r="O110" s="28">
        <v>1</v>
      </c>
      <c r="P110" s="34" t="str">
        <f t="shared" si="14"/>
        <v>12.1.33.1</v>
      </c>
      <c r="Q110" s="28" t="s">
        <v>274</v>
      </c>
      <c r="R110" s="28"/>
      <c r="S110" s="31" t="s">
        <v>271</v>
      </c>
      <c r="T110" s="31" t="s">
        <v>275</v>
      </c>
      <c r="U110" s="15">
        <v>69</v>
      </c>
      <c r="V110" s="28">
        <v>4</v>
      </c>
      <c r="W110" s="28">
        <v>3</v>
      </c>
      <c r="X110" s="28"/>
    </row>
    <row r="111" spans="1:24" ht="20.25" thickTop="1" thickBot="1" x14ac:dyDescent="0.3">
      <c r="A111" s="28">
        <v>12</v>
      </c>
      <c r="B111" s="43"/>
      <c r="C111" s="4">
        <f t="shared" si="8"/>
        <v>33</v>
      </c>
      <c r="D111" s="4">
        <f t="shared" si="13"/>
        <v>14</v>
      </c>
      <c r="E111" s="46"/>
      <c r="F111" s="43"/>
      <c r="G111" s="47"/>
      <c r="H111" s="47"/>
      <c r="I111" s="27" t="s">
        <v>593</v>
      </c>
      <c r="J111" s="51"/>
      <c r="K111" s="51"/>
      <c r="L111" s="74"/>
      <c r="M111" s="51"/>
      <c r="N111" s="83"/>
      <c r="O111" s="28">
        <v>2</v>
      </c>
      <c r="P111" s="34" t="str">
        <f>E110&amp;"."&amp;O111</f>
        <v>12.1.33.2</v>
      </c>
      <c r="Q111" s="28" t="s">
        <v>276</v>
      </c>
      <c r="R111" s="28"/>
      <c r="S111" s="31" t="s">
        <v>151</v>
      </c>
      <c r="T111" s="6" t="s">
        <v>597</v>
      </c>
      <c r="U111" s="28"/>
      <c r="V111" s="28">
        <v>2</v>
      </c>
      <c r="W111" s="28">
        <v>0</v>
      </c>
      <c r="X111" s="28"/>
    </row>
    <row r="112" spans="1:24" ht="20.25" thickTop="1" thickBot="1" x14ac:dyDescent="0.3">
      <c r="A112" s="28">
        <v>12</v>
      </c>
      <c r="B112" s="28">
        <v>1</v>
      </c>
      <c r="C112" s="4">
        <f t="shared" si="8"/>
        <v>34</v>
      </c>
      <c r="D112" s="4">
        <f>IF(I112="Nữ",IF((A112&lt;&gt;A111),0,D111),IF(A112&lt;&gt;A111,1,IF(ISBLANK(B112),D111,D111+1)))</f>
        <v>15</v>
      </c>
      <c r="E112" s="28" t="str">
        <f t="shared" si="9"/>
        <v>12.1.34</v>
      </c>
      <c r="F112" s="28" t="str">
        <f>P65</f>
        <v>11.1.17.1</v>
      </c>
      <c r="G112" s="29"/>
      <c r="H112" s="29" t="s">
        <v>277</v>
      </c>
      <c r="I112" s="27" t="s">
        <v>593</v>
      </c>
      <c r="J112" s="31" t="s">
        <v>240</v>
      </c>
      <c r="K112" s="6" t="s">
        <v>597</v>
      </c>
      <c r="L112" s="6" t="s">
        <v>597</v>
      </c>
      <c r="M112" s="31" t="s">
        <v>278</v>
      </c>
      <c r="N112" s="31" t="s">
        <v>552</v>
      </c>
      <c r="O112" s="28">
        <v>1</v>
      </c>
      <c r="P112" s="34" t="str">
        <f t="shared" ref="P112:P136" si="15">E112&amp;"."&amp;O112</f>
        <v>12.1.34.1</v>
      </c>
      <c r="Q112" s="28" t="s">
        <v>279</v>
      </c>
      <c r="R112" s="28"/>
      <c r="S112" s="6" t="s">
        <v>597</v>
      </c>
      <c r="T112" s="6" t="s">
        <v>597</v>
      </c>
      <c r="U112" s="28"/>
      <c r="V112" s="28">
        <v>1</v>
      </c>
      <c r="W112" s="28">
        <v>5</v>
      </c>
      <c r="X112" s="28"/>
    </row>
    <row r="113" spans="1:24" ht="20.25" thickTop="1" thickBot="1" x14ac:dyDescent="0.3">
      <c r="A113" s="28">
        <v>12</v>
      </c>
      <c r="B113" s="28">
        <v>1</v>
      </c>
      <c r="C113" s="4">
        <f t="shared" si="8"/>
        <v>35</v>
      </c>
      <c r="D113" s="4">
        <f t="shared" si="13"/>
        <v>15</v>
      </c>
      <c r="E113" s="28" t="str">
        <f t="shared" si="9"/>
        <v>12.1.35</v>
      </c>
      <c r="F113" s="28" t="str">
        <f>P65</f>
        <v>11.1.17.1</v>
      </c>
      <c r="G113" s="29"/>
      <c r="H113" s="29" t="s">
        <v>548</v>
      </c>
      <c r="I113" s="27" t="s">
        <v>594</v>
      </c>
      <c r="J113" s="6" t="s">
        <v>597</v>
      </c>
      <c r="K113" s="6" t="s">
        <v>597</v>
      </c>
      <c r="L113" s="6" t="s">
        <v>597</v>
      </c>
      <c r="M113" s="31"/>
      <c r="N113" s="31" t="s">
        <v>556</v>
      </c>
      <c r="O113" s="28">
        <v>0</v>
      </c>
      <c r="P113" s="34" t="str">
        <f t="shared" si="15"/>
        <v>12.1.35.0</v>
      </c>
      <c r="Q113" s="28"/>
      <c r="R113" s="28"/>
      <c r="S113" s="6" t="s">
        <v>597</v>
      </c>
      <c r="T113" s="6" t="s">
        <v>597</v>
      </c>
      <c r="U113" s="28"/>
      <c r="V113" s="28">
        <v>0</v>
      </c>
      <c r="W113" s="28">
        <v>0</v>
      </c>
      <c r="X113" s="28"/>
    </row>
    <row r="114" spans="1:24" ht="20.25" thickTop="1" thickBot="1" x14ac:dyDescent="0.3">
      <c r="A114" s="28">
        <v>12</v>
      </c>
      <c r="B114" s="28">
        <v>1</v>
      </c>
      <c r="C114" s="4">
        <f t="shared" si="8"/>
        <v>36</v>
      </c>
      <c r="D114" s="4">
        <f t="shared" si="13"/>
        <v>15</v>
      </c>
      <c r="E114" s="28" t="str">
        <f t="shared" si="9"/>
        <v>12.1.36</v>
      </c>
      <c r="F114" s="28" t="str">
        <f>P65</f>
        <v>11.1.17.1</v>
      </c>
      <c r="G114" s="29"/>
      <c r="H114" s="29" t="s">
        <v>443</v>
      </c>
      <c r="I114" s="27" t="s">
        <v>594</v>
      </c>
      <c r="J114" s="6" t="s">
        <v>597</v>
      </c>
      <c r="K114" s="6" t="s">
        <v>597</v>
      </c>
      <c r="L114" s="6" t="s">
        <v>597</v>
      </c>
      <c r="M114" s="31"/>
      <c r="N114" s="31" t="s">
        <v>556</v>
      </c>
      <c r="O114" s="28">
        <v>0</v>
      </c>
      <c r="P114" s="34" t="str">
        <f t="shared" si="15"/>
        <v>12.1.36.0</v>
      </c>
      <c r="Q114" s="28"/>
      <c r="R114" s="28"/>
      <c r="S114" s="6" t="s">
        <v>597</v>
      </c>
      <c r="T114" s="6" t="s">
        <v>597</v>
      </c>
      <c r="U114" s="28"/>
      <c r="V114" s="28">
        <v>0</v>
      </c>
      <c r="W114" s="28">
        <v>0</v>
      </c>
      <c r="X114" s="28"/>
    </row>
    <row r="115" spans="1:24" ht="20.25" thickTop="1" thickBot="1" x14ac:dyDescent="0.3">
      <c r="A115" s="28">
        <v>12</v>
      </c>
      <c r="B115" s="28">
        <v>1</v>
      </c>
      <c r="C115" s="4">
        <f t="shared" si="8"/>
        <v>37</v>
      </c>
      <c r="D115" s="4">
        <f t="shared" si="13"/>
        <v>16</v>
      </c>
      <c r="E115" s="28" t="str">
        <f>A115&amp;"."&amp;B115&amp;"."&amp;C115</f>
        <v>12.1.37</v>
      </c>
      <c r="F115" s="28" t="str">
        <f>P66</f>
        <v>11.1.18.1</v>
      </c>
      <c r="G115" s="29"/>
      <c r="H115" s="29" t="s">
        <v>280</v>
      </c>
      <c r="I115" s="27" t="s">
        <v>593</v>
      </c>
      <c r="J115" s="6" t="s">
        <v>597</v>
      </c>
      <c r="K115" s="6" t="s">
        <v>597</v>
      </c>
      <c r="L115" s="6" t="s">
        <v>597</v>
      </c>
      <c r="M115" s="31" t="s">
        <v>281</v>
      </c>
      <c r="N115" s="31" t="s">
        <v>552</v>
      </c>
      <c r="O115" s="28">
        <v>1</v>
      </c>
      <c r="P115" s="34" t="str">
        <f t="shared" si="15"/>
        <v>12.1.37.1</v>
      </c>
      <c r="Q115" s="28" t="s">
        <v>282</v>
      </c>
      <c r="R115" s="28"/>
      <c r="S115" s="6" t="s">
        <v>597</v>
      </c>
      <c r="T115" s="6" t="s">
        <v>597</v>
      </c>
      <c r="U115" s="28"/>
      <c r="V115" s="28">
        <v>2</v>
      </c>
      <c r="W115" s="28">
        <v>1</v>
      </c>
      <c r="X115" s="28"/>
    </row>
    <row r="116" spans="1:24" ht="20.25" thickTop="1" thickBot="1" x14ac:dyDescent="0.3">
      <c r="A116" s="28">
        <v>12</v>
      </c>
      <c r="B116" s="28">
        <v>1</v>
      </c>
      <c r="C116" s="4">
        <f t="shared" si="8"/>
        <v>38</v>
      </c>
      <c r="D116" s="4">
        <f t="shared" si="13"/>
        <v>16</v>
      </c>
      <c r="E116" s="28" t="str">
        <f t="shared" si="9"/>
        <v>12.1.38</v>
      </c>
      <c r="F116" s="28" t="str">
        <f>P66</f>
        <v>11.1.18.1</v>
      </c>
      <c r="G116" s="29"/>
      <c r="H116" s="29" t="s">
        <v>549</v>
      </c>
      <c r="I116" s="27" t="s">
        <v>594</v>
      </c>
      <c r="J116" s="6" t="s">
        <v>597</v>
      </c>
      <c r="K116" s="6" t="s">
        <v>597</v>
      </c>
      <c r="L116" s="6" t="s">
        <v>597</v>
      </c>
      <c r="M116" s="31"/>
      <c r="N116" s="31" t="s">
        <v>556</v>
      </c>
      <c r="O116" s="28">
        <v>0</v>
      </c>
      <c r="P116" s="34" t="str">
        <f t="shared" si="15"/>
        <v>12.1.38.0</v>
      </c>
      <c r="Q116" s="28"/>
      <c r="R116" s="28"/>
      <c r="S116" s="6" t="s">
        <v>597</v>
      </c>
      <c r="T116" s="6" t="s">
        <v>597</v>
      </c>
      <c r="U116" s="28"/>
      <c r="V116" s="28">
        <v>0</v>
      </c>
      <c r="W116" s="28">
        <v>0</v>
      </c>
      <c r="X116" s="28"/>
    </row>
    <row r="117" spans="1:24" ht="20.25" thickTop="1" thickBot="1" x14ac:dyDescent="0.3">
      <c r="A117" s="28">
        <v>12</v>
      </c>
      <c r="B117" s="28">
        <v>1</v>
      </c>
      <c r="C117" s="4">
        <f t="shared" si="8"/>
        <v>39</v>
      </c>
      <c r="D117" s="4">
        <f t="shared" si="13"/>
        <v>17</v>
      </c>
      <c r="E117" s="28" t="str">
        <f t="shared" si="9"/>
        <v>12.1.39</v>
      </c>
      <c r="F117" s="28" t="str">
        <f>P71</f>
        <v>11.1.23.1</v>
      </c>
      <c r="G117" s="29"/>
      <c r="H117" s="29" t="s">
        <v>283</v>
      </c>
      <c r="I117" s="27" t="s">
        <v>593</v>
      </c>
      <c r="J117" s="31" t="s">
        <v>108</v>
      </c>
      <c r="K117" s="31" t="s">
        <v>286</v>
      </c>
      <c r="L117" s="31" t="s">
        <v>287</v>
      </c>
      <c r="M117" s="31"/>
      <c r="N117" s="31" t="s">
        <v>552</v>
      </c>
      <c r="O117" s="28">
        <v>1</v>
      </c>
      <c r="P117" s="34" t="str">
        <f t="shared" si="15"/>
        <v>12.1.39.1</v>
      </c>
      <c r="Q117" s="28" t="s">
        <v>288</v>
      </c>
      <c r="R117" s="28"/>
      <c r="S117" s="31" t="s">
        <v>108</v>
      </c>
      <c r="T117" s="6" t="s">
        <v>597</v>
      </c>
      <c r="U117" s="28"/>
      <c r="V117" s="28">
        <v>1</v>
      </c>
      <c r="W117" s="28">
        <v>2</v>
      </c>
      <c r="X117" s="28"/>
    </row>
    <row r="118" spans="1:24" ht="20.25" thickTop="1" thickBot="1" x14ac:dyDescent="0.3">
      <c r="A118" s="28">
        <v>12</v>
      </c>
      <c r="B118" s="28">
        <v>1</v>
      </c>
      <c r="C118" s="4">
        <f t="shared" si="8"/>
        <v>40</v>
      </c>
      <c r="D118" s="4">
        <f t="shared" si="13"/>
        <v>18</v>
      </c>
      <c r="E118" s="28" t="str">
        <f t="shared" si="9"/>
        <v>12.1.40</v>
      </c>
      <c r="F118" s="28" t="str">
        <f>P71</f>
        <v>11.1.23.1</v>
      </c>
      <c r="G118" s="29"/>
      <c r="H118" s="29" t="s">
        <v>284</v>
      </c>
      <c r="I118" s="27" t="s">
        <v>593</v>
      </c>
      <c r="J118" s="31" t="s">
        <v>232</v>
      </c>
      <c r="K118" s="31" t="s">
        <v>289</v>
      </c>
      <c r="L118" s="31" t="s">
        <v>290</v>
      </c>
      <c r="M118" s="31"/>
      <c r="N118" s="31" t="s">
        <v>552</v>
      </c>
      <c r="O118" s="28">
        <v>1</v>
      </c>
      <c r="P118" s="34" t="str">
        <f t="shared" si="15"/>
        <v>12.1.40.1</v>
      </c>
      <c r="Q118" s="28" t="s">
        <v>291</v>
      </c>
      <c r="R118" s="28"/>
      <c r="S118" s="31" t="s">
        <v>292</v>
      </c>
      <c r="T118" s="6" t="s">
        <v>597</v>
      </c>
      <c r="U118" s="28"/>
      <c r="V118" s="28">
        <v>4</v>
      </c>
      <c r="W118" s="28">
        <v>4</v>
      </c>
      <c r="X118" s="28"/>
    </row>
    <row r="119" spans="1:24" ht="20.25" thickTop="1" thickBot="1" x14ac:dyDescent="0.3">
      <c r="A119" s="28">
        <v>12</v>
      </c>
      <c r="B119" s="28">
        <v>1</v>
      </c>
      <c r="C119" s="4">
        <f t="shared" si="8"/>
        <v>41</v>
      </c>
      <c r="D119" s="4">
        <f>IF(I119="Nữ",IF((A119&lt;&gt;A118),0,D118),IF(A119&lt;&gt;A118,1,IF(ISBLANK(B119),D118,D118+1)))</f>
        <v>18</v>
      </c>
      <c r="E119" s="28" t="str">
        <f t="shared" si="9"/>
        <v>12.1.41</v>
      </c>
      <c r="F119" s="28" t="str">
        <f>P71</f>
        <v>11.1.23.1</v>
      </c>
      <c r="G119" s="29"/>
      <c r="H119" s="29" t="s">
        <v>295</v>
      </c>
      <c r="I119" s="27" t="s">
        <v>594</v>
      </c>
      <c r="J119" s="6" t="s">
        <v>597</v>
      </c>
      <c r="K119" s="6" t="s">
        <v>597</v>
      </c>
      <c r="L119" s="6" t="s">
        <v>597</v>
      </c>
      <c r="M119" s="31"/>
      <c r="N119" s="31" t="s">
        <v>556</v>
      </c>
      <c r="O119" s="28">
        <v>0</v>
      </c>
      <c r="P119" s="34" t="str">
        <f t="shared" si="15"/>
        <v>12.1.41.0</v>
      </c>
      <c r="Q119" s="28"/>
      <c r="R119" s="28"/>
      <c r="S119" s="6" t="s">
        <v>597</v>
      </c>
      <c r="T119" s="6" t="s">
        <v>597</v>
      </c>
      <c r="U119" s="28"/>
      <c r="V119" s="28">
        <v>0</v>
      </c>
      <c r="W119" s="28">
        <v>0</v>
      </c>
      <c r="X119" s="28"/>
    </row>
    <row r="120" spans="1:24" ht="20.25" thickTop="1" thickBot="1" x14ac:dyDescent="0.3">
      <c r="A120" s="28">
        <v>12</v>
      </c>
      <c r="B120" s="28">
        <v>1</v>
      </c>
      <c r="C120" s="4">
        <f t="shared" si="8"/>
        <v>42</v>
      </c>
      <c r="D120" s="4">
        <f t="shared" si="13"/>
        <v>19</v>
      </c>
      <c r="E120" s="28" t="str">
        <f t="shared" si="9"/>
        <v>12.1.42</v>
      </c>
      <c r="F120" s="28" t="str">
        <f>P72</f>
        <v>11.1.24.1</v>
      </c>
      <c r="G120" s="29"/>
      <c r="H120" s="29" t="s">
        <v>285</v>
      </c>
      <c r="I120" s="27" t="s">
        <v>593</v>
      </c>
      <c r="J120" s="31" t="s">
        <v>232</v>
      </c>
      <c r="K120" s="31" t="s">
        <v>293</v>
      </c>
      <c r="L120" s="31" t="s">
        <v>294</v>
      </c>
      <c r="M120" s="31"/>
      <c r="N120" s="31" t="s">
        <v>552</v>
      </c>
      <c r="O120" s="28">
        <v>1</v>
      </c>
      <c r="P120" s="34" t="str">
        <f t="shared" si="15"/>
        <v>12.1.42.1</v>
      </c>
      <c r="Q120" s="28" t="s">
        <v>295</v>
      </c>
      <c r="R120" s="28"/>
      <c r="S120" s="31" t="s">
        <v>296</v>
      </c>
      <c r="T120" s="6" t="s">
        <v>597</v>
      </c>
      <c r="U120" s="28"/>
      <c r="V120" s="28">
        <v>5</v>
      </c>
      <c r="W120" s="28">
        <v>3</v>
      </c>
      <c r="X120" s="28"/>
    </row>
    <row r="121" spans="1:24" ht="20.25" thickTop="1" thickBot="1" x14ac:dyDescent="0.3">
      <c r="A121" s="27">
        <v>13</v>
      </c>
      <c r="B121" s="27">
        <v>1</v>
      </c>
      <c r="C121" s="4">
        <f t="shared" si="8"/>
        <v>1</v>
      </c>
      <c r="D121" s="4">
        <f>IF(I121="Nữ",IF((A121&lt;&gt;A120),0,D120),IF(A121&lt;&gt;A120,1,IF(ISBLANK(B121),D120,D120+1)))</f>
        <v>0</v>
      </c>
      <c r="E121" s="27" t="str">
        <f t="shared" si="9"/>
        <v>13.1.1</v>
      </c>
      <c r="F121" s="27" t="str">
        <f>P76</f>
        <v>12.1.1.1</v>
      </c>
      <c r="G121" s="30"/>
      <c r="H121" s="30" t="s">
        <v>464</v>
      </c>
      <c r="I121" s="27" t="s">
        <v>594</v>
      </c>
      <c r="J121" s="33"/>
      <c r="K121" s="33"/>
      <c r="L121" s="33"/>
      <c r="M121" s="33"/>
      <c r="N121" s="33" t="s">
        <v>556</v>
      </c>
      <c r="O121" s="27">
        <v>0</v>
      </c>
      <c r="P121" s="32" t="str">
        <f t="shared" si="15"/>
        <v>13.1.1.0</v>
      </c>
      <c r="Q121" s="27"/>
      <c r="R121" s="27"/>
      <c r="S121" s="33"/>
      <c r="T121" s="33"/>
      <c r="U121" s="27"/>
      <c r="V121" s="27">
        <v>0</v>
      </c>
      <c r="W121" s="27">
        <v>0</v>
      </c>
      <c r="X121" s="27"/>
    </row>
    <row r="122" spans="1:24" ht="20.25" thickTop="1" thickBot="1" x14ac:dyDescent="0.3">
      <c r="A122" s="27">
        <v>13</v>
      </c>
      <c r="B122" s="27">
        <v>1</v>
      </c>
      <c r="C122" s="4">
        <f t="shared" si="8"/>
        <v>2</v>
      </c>
      <c r="D122" s="4">
        <f t="shared" ref="D122:D125" si="16">IF(I122="Nữ",IF((A122&lt;&gt;A121),0,D121),IF(A122&lt;&gt;A121,1,IF(ISBLANK(B122),D121,D121+1)))</f>
        <v>0</v>
      </c>
      <c r="E122" s="27" t="str">
        <f t="shared" si="9"/>
        <v>13.1.2</v>
      </c>
      <c r="F122" s="27" t="str">
        <f>P77</f>
        <v>12.1.1.2</v>
      </c>
      <c r="G122" s="30"/>
      <c r="H122" s="30" t="s">
        <v>465</v>
      </c>
      <c r="I122" s="27" t="s">
        <v>594</v>
      </c>
      <c r="J122" s="33"/>
      <c r="K122" s="33"/>
      <c r="L122" s="33"/>
      <c r="M122" s="33"/>
      <c r="N122" s="33" t="s">
        <v>556</v>
      </c>
      <c r="O122" s="27">
        <v>0</v>
      </c>
      <c r="P122" s="32" t="str">
        <f t="shared" si="15"/>
        <v>13.1.2.0</v>
      </c>
      <c r="Q122" s="27"/>
      <c r="R122" s="27"/>
      <c r="S122" s="33"/>
      <c r="T122" s="33"/>
      <c r="U122" s="27"/>
      <c r="V122" s="27">
        <v>0</v>
      </c>
      <c r="W122" s="27">
        <v>0</v>
      </c>
      <c r="X122" s="27"/>
    </row>
    <row r="123" spans="1:24" ht="20.25" thickTop="1" thickBot="1" x14ac:dyDescent="0.3">
      <c r="A123" s="27">
        <v>13</v>
      </c>
      <c r="B123" s="27">
        <v>1</v>
      </c>
      <c r="C123" s="4">
        <f t="shared" si="8"/>
        <v>3</v>
      </c>
      <c r="D123" s="4">
        <f t="shared" si="16"/>
        <v>0</v>
      </c>
      <c r="E123" s="27" t="str">
        <f t="shared" si="9"/>
        <v>13.1.3</v>
      </c>
      <c r="F123" s="27" t="str">
        <f>P79</f>
        <v>12.1.3.1</v>
      </c>
      <c r="G123" s="30"/>
      <c r="H123" s="30" t="s">
        <v>466</v>
      </c>
      <c r="I123" s="27" t="s">
        <v>594</v>
      </c>
      <c r="J123" s="33"/>
      <c r="K123" s="33"/>
      <c r="L123" s="33"/>
      <c r="M123" s="33"/>
      <c r="N123" s="33" t="s">
        <v>556</v>
      </c>
      <c r="O123" s="27">
        <v>0</v>
      </c>
      <c r="P123" s="32" t="str">
        <f t="shared" si="15"/>
        <v>13.1.3.0</v>
      </c>
      <c r="Q123" s="27"/>
      <c r="R123" s="27"/>
      <c r="S123" s="33"/>
      <c r="T123" s="33"/>
      <c r="U123" s="27"/>
      <c r="V123" s="27">
        <v>0</v>
      </c>
      <c r="W123" s="27">
        <v>0</v>
      </c>
      <c r="X123" s="27"/>
    </row>
    <row r="124" spans="1:24" ht="20.25" thickTop="1" thickBot="1" x14ac:dyDescent="0.3">
      <c r="A124" s="27">
        <v>13</v>
      </c>
      <c r="B124" s="27">
        <v>1</v>
      </c>
      <c r="C124" s="4">
        <f t="shared" si="8"/>
        <v>4</v>
      </c>
      <c r="D124" s="4">
        <f t="shared" si="16"/>
        <v>0</v>
      </c>
      <c r="E124" s="27" t="str">
        <f t="shared" si="9"/>
        <v>13.1.4</v>
      </c>
      <c r="F124" s="27" t="str">
        <f>P79</f>
        <v>12.1.3.1</v>
      </c>
      <c r="G124" s="30"/>
      <c r="H124" s="30" t="s">
        <v>467</v>
      </c>
      <c r="I124" s="27" t="s">
        <v>594</v>
      </c>
      <c r="J124" s="33"/>
      <c r="K124" s="33"/>
      <c r="L124" s="33"/>
      <c r="M124" s="33"/>
      <c r="N124" s="33" t="s">
        <v>556</v>
      </c>
      <c r="O124" s="27">
        <v>0</v>
      </c>
      <c r="P124" s="32" t="str">
        <f t="shared" si="15"/>
        <v>13.1.4.0</v>
      </c>
      <c r="Q124" s="27"/>
      <c r="R124" s="27"/>
      <c r="S124" s="33"/>
      <c r="T124" s="33"/>
      <c r="U124" s="27"/>
      <c r="V124" s="27">
        <v>0</v>
      </c>
      <c r="W124" s="27">
        <v>0</v>
      </c>
      <c r="X124" s="27"/>
    </row>
    <row r="125" spans="1:24" ht="20.25" thickTop="1" thickBot="1" x14ac:dyDescent="0.3">
      <c r="A125" s="27">
        <v>13</v>
      </c>
      <c r="B125" s="27">
        <v>1</v>
      </c>
      <c r="C125" s="4">
        <f t="shared" si="8"/>
        <v>5</v>
      </c>
      <c r="D125" s="4">
        <f t="shared" si="16"/>
        <v>1</v>
      </c>
      <c r="E125" s="27" t="str">
        <f t="shared" si="9"/>
        <v>13.1.5</v>
      </c>
      <c r="F125" s="27" t="str">
        <f>P79</f>
        <v>12.1.3.1</v>
      </c>
      <c r="G125" s="30" t="s">
        <v>586</v>
      </c>
      <c r="H125" s="30" t="s">
        <v>297</v>
      </c>
      <c r="I125" s="27" t="s">
        <v>593</v>
      </c>
      <c r="J125" s="12" t="s">
        <v>308</v>
      </c>
      <c r="K125" s="33"/>
      <c r="L125" s="33"/>
      <c r="M125" s="33"/>
      <c r="N125" s="33" t="s">
        <v>552</v>
      </c>
      <c r="O125" s="27">
        <v>1</v>
      </c>
      <c r="P125" s="32" t="str">
        <f t="shared" si="15"/>
        <v>13.1.5.1</v>
      </c>
      <c r="Q125" s="27" t="s">
        <v>298</v>
      </c>
      <c r="R125" s="27"/>
      <c r="S125" s="12" t="s">
        <v>309</v>
      </c>
      <c r="T125" s="33"/>
      <c r="U125" s="27"/>
      <c r="V125" s="27">
        <v>2</v>
      </c>
      <c r="W125" s="27">
        <v>0</v>
      </c>
      <c r="X125" s="27"/>
    </row>
    <row r="126" spans="1:24" ht="20.25" thickTop="1" thickBot="1" x14ac:dyDescent="0.3">
      <c r="A126" s="27">
        <v>13</v>
      </c>
      <c r="B126" s="27">
        <v>1</v>
      </c>
      <c r="C126" s="4">
        <f t="shared" si="8"/>
        <v>6</v>
      </c>
      <c r="D126" s="4">
        <f>IF(I126="Nữ",IF((A126&lt;&gt;A125),0,D125),IF(A126&lt;&gt;A125,1,IF(ISBLANK(B126),D125,D125+1)))</f>
        <v>2</v>
      </c>
      <c r="E126" s="27" t="str">
        <f t="shared" si="9"/>
        <v>13.1.6</v>
      </c>
      <c r="F126" s="27" t="str">
        <f>P79</f>
        <v>12.1.3.1</v>
      </c>
      <c r="G126" s="30"/>
      <c r="H126" s="30" t="s">
        <v>299</v>
      </c>
      <c r="I126" s="27" t="s">
        <v>593</v>
      </c>
      <c r="J126" s="33" t="s">
        <v>300</v>
      </c>
      <c r="K126" s="33"/>
      <c r="L126" s="33"/>
      <c r="M126" s="33"/>
      <c r="N126" s="33" t="s">
        <v>552</v>
      </c>
      <c r="O126" s="27">
        <v>1</v>
      </c>
      <c r="P126" s="32" t="str">
        <f t="shared" si="15"/>
        <v>13.1.6.1</v>
      </c>
      <c r="Q126" s="27" t="s">
        <v>301</v>
      </c>
      <c r="R126" s="27"/>
      <c r="S126" s="33"/>
      <c r="T126" s="33"/>
      <c r="U126" s="27"/>
      <c r="V126" s="27">
        <v>1</v>
      </c>
      <c r="W126" s="27">
        <v>0</v>
      </c>
      <c r="X126" s="27"/>
    </row>
    <row r="127" spans="1:24" ht="20.25" thickTop="1" thickBot="1" x14ac:dyDescent="0.3">
      <c r="A127" s="27">
        <v>13</v>
      </c>
      <c r="B127" s="27">
        <v>1</v>
      </c>
      <c r="C127" s="4">
        <f t="shared" si="8"/>
        <v>7</v>
      </c>
      <c r="D127" s="4">
        <f t="shared" ref="D127:D166" si="17">IF(I127="Nữ",IF((A127&lt;&gt;A126),0,D126),IF(A127&lt;&gt;A126,1,IF(ISBLANK(B127),D126,D126+1)))</f>
        <v>3</v>
      </c>
      <c r="E127" s="27" t="str">
        <f t="shared" si="9"/>
        <v>13.1.7</v>
      </c>
      <c r="F127" s="27" t="str">
        <f>P80</f>
        <v>12.1.4.1</v>
      </c>
      <c r="G127" s="30"/>
      <c r="H127" s="30" t="s">
        <v>302</v>
      </c>
      <c r="I127" s="27" t="s">
        <v>593</v>
      </c>
      <c r="J127" s="33" t="s">
        <v>303</v>
      </c>
      <c r="K127" s="33"/>
      <c r="L127" s="33"/>
      <c r="M127" s="33"/>
      <c r="N127" s="33" t="s">
        <v>552</v>
      </c>
      <c r="O127" s="27">
        <v>1</v>
      </c>
      <c r="P127" s="32" t="str">
        <f t="shared" si="15"/>
        <v>13.1.7.1</v>
      </c>
      <c r="Q127" s="27" t="s">
        <v>304</v>
      </c>
      <c r="R127" s="27"/>
      <c r="S127" s="33"/>
      <c r="T127" s="33"/>
      <c r="U127" s="27"/>
      <c r="V127" s="27">
        <v>2</v>
      </c>
      <c r="W127" s="27">
        <v>0</v>
      </c>
      <c r="X127" s="27"/>
    </row>
    <row r="128" spans="1:24" ht="20.25" thickTop="1" thickBot="1" x14ac:dyDescent="0.3">
      <c r="A128" s="27">
        <v>13</v>
      </c>
      <c r="B128" s="27">
        <v>1</v>
      </c>
      <c r="C128" s="4">
        <f t="shared" si="8"/>
        <v>8</v>
      </c>
      <c r="D128" s="4">
        <f t="shared" si="17"/>
        <v>4</v>
      </c>
      <c r="E128" s="27" t="str">
        <f t="shared" si="9"/>
        <v>13.1.8</v>
      </c>
      <c r="F128" s="27" t="str">
        <f>P80</f>
        <v>12.1.4.1</v>
      </c>
      <c r="G128" s="30"/>
      <c r="H128" s="30" t="s">
        <v>305</v>
      </c>
      <c r="I128" s="27" t="s">
        <v>593</v>
      </c>
      <c r="J128" s="12" t="s">
        <v>307</v>
      </c>
      <c r="K128" s="33"/>
      <c r="L128" s="33"/>
      <c r="M128" s="33"/>
      <c r="N128" s="33" t="s">
        <v>552</v>
      </c>
      <c r="O128" s="27">
        <v>1</v>
      </c>
      <c r="P128" s="32" t="str">
        <f t="shared" si="15"/>
        <v>13.1.8.1</v>
      </c>
      <c r="Q128" s="27" t="s">
        <v>310</v>
      </c>
      <c r="R128" s="27"/>
      <c r="S128" s="12" t="s">
        <v>311</v>
      </c>
      <c r="T128" s="33"/>
      <c r="U128" s="27"/>
      <c r="V128" s="27">
        <v>2</v>
      </c>
      <c r="W128" s="27">
        <v>0</v>
      </c>
      <c r="X128" s="27"/>
    </row>
    <row r="129" spans="1:24" ht="20.25" thickTop="1" thickBot="1" x14ac:dyDescent="0.3">
      <c r="A129" s="27">
        <v>13</v>
      </c>
      <c r="B129" s="27">
        <v>1</v>
      </c>
      <c r="C129" s="4">
        <f t="shared" si="8"/>
        <v>9</v>
      </c>
      <c r="D129" s="4">
        <f t="shared" si="17"/>
        <v>4</v>
      </c>
      <c r="E129" s="27" t="str">
        <f t="shared" si="9"/>
        <v>13.1.9</v>
      </c>
      <c r="F129" s="27" t="str">
        <f>P85</f>
        <v>12.1.9.1</v>
      </c>
      <c r="G129" s="30"/>
      <c r="H129" s="30" t="s">
        <v>468</v>
      </c>
      <c r="I129" s="27" t="s">
        <v>594</v>
      </c>
      <c r="J129" s="12"/>
      <c r="K129" s="33"/>
      <c r="L129" s="33"/>
      <c r="M129" s="33"/>
      <c r="N129" s="33" t="s">
        <v>556</v>
      </c>
      <c r="O129" s="27">
        <v>0</v>
      </c>
      <c r="P129" s="32" t="str">
        <f t="shared" si="15"/>
        <v>13.1.9.0</v>
      </c>
      <c r="Q129" s="27"/>
      <c r="R129" s="27"/>
      <c r="S129" s="12"/>
      <c r="T129" s="33"/>
      <c r="U129" s="27"/>
      <c r="V129" s="27">
        <v>0</v>
      </c>
      <c r="W129" s="27">
        <v>0</v>
      </c>
      <c r="X129" s="27"/>
    </row>
    <row r="130" spans="1:24" ht="20.25" thickTop="1" thickBot="1" x14ac:dyDescent="0.3">
      <c r="A130" s="27">
        <v>13</v>
      </c>
      <c r="B130" s="27">
        <v>1</v>
      </c>
      <c r="C130" s="4">
        <f t="shared" si="8"/>
        <v>10</v>
      </c>
      <c r="D130" s="4">
        <f t="shared" si="17"/>
        <v>4</v>
      </c>
      <c r="E130" s="27" t="str">
        <f t="shared" si="9"/>
        <v>13.1.10</v>
      </c>
      <c r="F130" s="27" t="str">
        <f>P85</f>
        <v>12.1.9.1</v>
      </c>
      <c r="G130" s="30"/>
      <c r="H130" s="30" t="s">
        <v>469</v>
      </c>
      <c r="I130" s="27" t="s">
        <v>594</v>
      </c>
      <c r="J130" s="12"/>
      <c r="K130" s="33" t="s">
        <v>470</v>
      </c>
      <c r="L130" s="33"/>
      <c r="M130" s="33"/>
      <c r="N130" s="33" t="s">
        <v>556</v>
      </c>
      <c r="O130" s="27">
        <v>0</v>
      </c>
      <c r="P130" s="32" t="str">
        <f t="shared" si="15"/>
        <v>13.1.10.0</v>
      </c>
      <c r="Q130" s="27"/>
      <c r="R130" s="27"/>
      <c r="S130" s="12"/>
      <c r="T130" s="33"/>
      <c r="U130" s="27"/>
      <c r="V130" s="27">
        <v>0</v>
      </c>
      <c r="W130" s="27">
        <v>0</v>
      </c>
      <c r="X130" s="27"/>
    </row>
    <row r="131" spans="1:24" ht="20.25" thickTop="1" thickBot="1" x14ac:dyDescent="0.3">
      <c r="A131" s="27">
        <v>13</v>
      </c>
      <c r="B131" s="27">
        <v>1</v>
      </c>
      <c r="C131" s="4">
        <f t="shared" si="8"/>
        <v>11</v>
      </c>
      <c r="D131" s="4">
        <f t="shared" si="17"/>
        <v>5</v>
      </c>
      <c r="E131" s="27" t="str">
        <f t="shared" si="9"/>
        <v>13.1.11</v>
      </c>
      <c r="F131" s="27" t="str">
        <f>P86</f>
        <v>12.1.10.1</v>
      </c>
      <c r="G131" s="30"/>
      <c r="H131" s="30" t="s">
        <v>312</v>
      </c>
      <c r="I131" s="27" t="s">
        <v>593</v>
      </c>
      <c r="J131" s="33"/>
      <c r="K131" s="33"/>
      <c r="L131" s="33"/>
      <c r="M131" s="33"/>
      <c r="N131" s="33" t="s">
        <v>556</v>
      </c>
      <c r="O131" s="27" t="s">
        <v>321</v>
      </c>
      <c r="P131" s="32" t="str">
        <f t="shared" si="15"/>
        <v>13.1.11.?</v>
      </c>
      <c r="Q131" s="27"/>
      <c r="R131" s="27"/>
      <c r="S131" s="33"/>
      <c r="T131" s="33"/>
      <c r="U131" s="27"/>
      <c r="V131" s="27">
        <v>0</v>
      </c>
      <c r="W131" s="27">
        <v>0</v>
      </c>
      <c r="X131" s="27"/>
    </row>
    <row r="132" spans="1:24" ht="20.25" thickTop="1" thickBot="1" x14ac:dyDescent="0.3">
      <c r="A132" s="27">
        <v>13</v>
      </c>
      <c r="B132" s="27">
        <v>1</v>
      </c>
      <c r="C132" s="4">
        <f t="shared" si="8"/>
        <v>12</v>
      </c>
      <c r="D132" s="4">
        <f t="shared" si="17"/>
        <v>6</v>
      </c>
      <c r="E132" s="27" t="str">
        <f t="shared" si="9"/>
        <v>13.1.12</v>
      </c>
      <c r="F132" s="27" t="str">
        <f>P86</f>
        <v>12.1.10.1</v>
      </c>
      <c r="G132" s="30"/>
      <c r="H132" s="30" t="s">
        <v>313</v>
      </c>
      <c r="I132" s="27" t="s">
        <v>593</v>
      </c>
      <c r="J132" s="33"/>
      <c r="K132" s="33"/>
      <c r="L132" s="33"/>
      <c r="M132" s="33"/>
      <c r="N132" s="33" t="s">
        <v>556</v>
      </c>
      <c r="O132" s="27" t="s">
        <v>321</v>
      </c>
      <c r="P132" s="32" t="str">
        <f t="shared" si="15"/>
        <v>13.1.12.?</v>
      </c>
      <c r="Q132" s="27"/>
      <c r="R132" s="27"/>
      <c r="S132" s="33"/>
      <c r="T132" s="33"/>
      <c r="U132" s="27"/>
      <c r="V132" s="27">
        <v>0</v>
      </c>
      <c r="W132" s="27">
        <v>0</v>
      </c>
      <c r="X132" s="27"/>
    </row>
    <row r="133" spans="1:24" ht="20.25" thickTop="1" thickBot="1" x14ac:dyDescent="0.3">
      <c r="A133" s="27">
        <v>13</v>
      </c>
      <c r="B133" s="27">
        <v>1</v>
      </c>
      <c r="C133" s="4">
        <f t="shared" ref="C133:C196" si="18">IF(A133&lt;&gt;A132,1,IF(ISBLANK(B133),C132,C132+1))</f>
        <v>13</v>
      </c>
      <c r="D133" s="4">
        <f>IF(I133="Nữ",IF((A133&lt;&gt;A132),0,D132),IF(A133&lt;&gt;A132,1,IF(ISBLANK(B133),D132,D132+1)))</f>
        <v>6</v>
      </c>
      <c r="E133" s="27" t="str">
        <f t="shared" ref="E133:E196" si="19">A133&amp;"."&amp;B133&amp;"."&amp;C133</f>
        <v>13.1.13</v>
      </c>
      <c r="F133" s="27" t="str">
        <f>P86</f>
        <v>12.1.10.1</v>
      </c>
      <c r="G133" s="40"/>
      <c r="H133" s="40" t="s">
        <v>471</v>
      </c>
      <c r="I133" s="27" t="s">
        <v>594</v>
      </c>
      <c r="J133" s="37"/>
      <c r="K133" s="37"/>
      <c r="L133" s="37"/>
      <c r="M133" s="37"/>
      <c r="N133" s="37" t="s">
        <v>556</v>
      </c>
      <c r="O133" s="27">
        <v>0</v>
      </c>
      <c r="P133" s="32" t="str">
        <f t="shared" si="15"/>
        <v>13.1.13.0</v>
      </c>
      <c r="Q133" s="27"/>
      <c r="R133" s="27"/>
      <c r="S133" s="33"/>
      <c r="T133" s="33"/>
      <c r="U133" s="27"/>
      <c r="V133" s="27">
        <v>0</v>
      </c>
      <c r="W133" s="27">
        <v>0</v>
      </c>
      <c r="X133" s="27"/>
    </row>
    <row r="134" spans="1:24" ht="20.25" thickTop="1" thickBot="1" x14ac:dyDescent="0.3">
      <c r="A134" s="27">
        <v>13</v>
      </c>
      <c r="B134" s="27">
        <v>1</v>
      </c>
      <c r="C134" s="4">
        <f t="shared" si="18"/>
        <v>14</v>
      </c>
      <c r="D134" s="4">
        <f t="shared" si="17"/>
        <v>6</v>
      </c>
      <c r="E134" s="27" t="str">
        <f t="shared" si="19"/>
        <v>13.1.14</v>
      </c>
      <c r="F134" s="27" t="str">
        <f>P86</f>
        <v>12.1.10.1</v>
      </c>
      <c r="G134" s="40"/>
      <c r="H134" s="40" t="s">
        <v>421</v>
      </c>
      <c r="I134" s="27" t="s">
        <v>594</v>
      </c>
      <c r="J134" s="37"/>
      <c r="K134" s="37"/>
      <c r="L134" s="37"/>
      <c r="M134" s="37"/>
      <c r="N134" s="37" t="s">
        <v>556</v>
      </c>
      <c r="O134" s="27">
        <v>0</v>
      </c>
      <c r="P134" s="32" t="str">
        <f t="shared" si="15"/>
        <v>13.1.14.0</v>
      </c>
      <c r="Q134" s="27"/>
      <c r="R134" s="27"/>
      <c r="S134" s="33"/>
      <c r="T134" s="33"/>
      <c r="U134" s="27"/>
      <c r="V134" s="27">
        <v>0</v>
      </c>
      <c r="W134" s="27">
        <v>0</v>
      </c>
      <c r="X134" s="27"/>
    </row>
    <row r="135" spans="1:24" ht="20.25" thickTop="1" thickBot="1" x14ac:dyDescent="0.3">
      <c r="A135" s="27">
        <v>13</v>
      </c>
      <c r="B135" s="27">
        <v>1</v>
      </c>
      <c r="C135" s="4">
        <f t="shared" si="18"/>
        <v>15</v>
      </c>
      <c r="D135" s="4">
        <f t="shared" si="17"/>
        <v>6</v>
      </c>
      <c r="E135" s="27" t="str">
        <f t="shared" si="19"/>
        <v>13.1.15</v>
      </c>
      <c r="F135" s="39" t="str">
        <f>P92</f>
        <v>12.1.16.1</v>
      </c>
      <c r="G135" s="40"/>
      <c r="H135" s="40" t="s">
        <v>472</v>
      </c>
      <c r="I135" s="27" t="s">
        <v>594</v>
      </c>
      <c r="J135" s="37"/>
      <c r="K135" s="37"/>
      <c r="L135" s="37"/>
      <c r="M135" s="37"/>
      <c r="N135" s="37" t="s">
        <v>556</v>
      </c>
      <c r="O135" s="27">
        <v>0</v>
      </c>
      <c r="P135" s="32" t="str">
        <f t="shared" si="15"/>
        <v>13.1.15.0</v>
      </c>
      <c r="Q135" s="27"/>
      <c r="R135" s="27"/>
      <c r="S135" s="33"/>
      <c r="T135" s="33"/>
      <c r="U135" s="27"/>
      <c r="V135" s="27">
        <v>0</v>
      </c>
      <c r="W135" s="27">
        <v>0</v>
      </c>
      <c r="X135" s="27"/>
    </row>
    <row r="136" spans="1:24" ht="20.25" thickTop="1" thickBot="1" x14ac:dyDescent="0.3">
      <c r="A136" s="27">
        <v>13</v>
      </c>
      <c r="B136" s="42">
        <v>1</v>
      </c>
      <c r="C136" s="4">
        <f t="shared" si="18"/>
        <v>16</v>
      </c>
      <c r="D136" s="4">
        <f t="shared" si="17"/>
        <v>7</v>
      </c>
      <c r="E136" s="48" t="str">
        <f t="shared" si="19"/>
        <v>13.1.16</v>
      </c>
      <c r="F136" s="48" t="str">
        <f>P93</f>
        <v>12.1.16.2</v>
      </c>
      <c r="G136" s="72"/>
      <c r="H136" s="72" t="s">
        <v>314</v>
      </c>
      <c r="I136" s="27" t="s">
        <v>593</v>
      </c>
      <c r="J136" s="69" t="s">
        <v>316</v>
      </c>
      <c r="K136" s="69"/>
      <c r="L136" s="69"/>
      <c r="M136" s="69"/>
      <c r="N136" s="37" t="s">
        <v>553</v>
      </c>
      <c r="O136" s="27">
        <v>1</v>
      </c>
      <c r="P136" s="32" t="str">
        <f t="shared" si="15"/>
        <v>13.1.16.1</v>
      </c>
      <c r="Q136" s="27" t="s">
        <v>317</v>
      </c>
      <c r="R136" s="27"/>
      <c r="S136" s="33" t="s">
        <v>318</v>
      </c>
      <c r="T136" s="33"/>
      <c r="U136" s="27"/>
      <c r="V136" s="17">
        <v>0</v>
      </c>
      <c r="W136" s="17">
        <v>1</v>
      </c>
      <c r="X136" s="27"/>
    </row>
    <row r="137" spans="1:24" ht="20.25" thickTop="1" thickBot="1" x14ac:dyDescent="0.3">
      <c r="A137" s="27">
        <v>13</v>
      </c>
      <c r="B137" s="42"/>
      <c r="C137" s="4">
        <f t="shared" si="18"/>
        <v>16</v>
      </c>
      <c r="D137" s="4">
        <f t="shared" si="17"/>
        <v>7</v>
      </c>
      <c r="E137" s="49"/>
      <c r="F137" s="49"/>
      <c r="G137" s="73"/>
      <c r="H137" s="73"/>
      <c r="I137" s="27" t="s">
        <v>593</v>
      </c>
      <c r="J137" s="70"/>
      <c r="K137" s="70"/>
      <c r="L137" s="70"/>
      <c r="M137" s="70"/>
      <c r="N137" s="38"/>
      <c r="O137" s="27">
        <v>2</v>
      </c>
      <c r="P137" s="32" t="str">
        <f>E136&amp;"."&amp;O137</f>
        <v>13.1.16.2</v>
      </c>
      <c r="Q137" s="27" t="s">
        <v>319</v>
      </c>
      <c r="R137" s="27"/>
      <c r="S137" s="33" t="s">
        <v>320</v>
      </c>
      <c r="T137" s="33"/>
      <c r="U137" s="27"/>
      <c r="V137" s="17">
        <v>1</v>
      </c>
      <c r="W137" s="17">
        <v>1</v>
      </c>
      <c r="X137" s="27"/>
    </row>
    <row r="138" spans="1:24" ht="20.25" thickTop="1" thickBot="1" x14ac:dyDescent="0.3">
      <c r="A138" s="27">
        <v>13</v>
      </c>
      <c r="B138" s="27">
        <v>1</v>
      </c>
      <c r="C138" s="4">
        <f t="shared" si="18"/>
        <v>17</v>
      </c>
      <c r="D138" s="4">
        <f t="shared" si="17"/>
        <v>8</v>
      </c>
      <c r="E138" s="27" t="str">
        <f t="shared" si="19"/>
        <v>13.1.17</v>
      </c>
      <c r="F138" s="27" t="str">
        <f>P93</f>
        <v>12.1.16.2</v>
      </c>
      <c r="G138" s="30"/>
      <c r="H138" s="30" t="s">
        <v>315</v>
      </c>
      <c r="I138" s="27" t="s">
        <v>593</v>
      </c>
      <c r="J138" s="12" t="s">
        <v>322</v>
      </c>
      <c r="K138" s="33"/>
      <c r="L138" s="33"/>
      <c r="M138" s="33"/>
      <c r="N138" s="33" t="s">
        <v>552</v>
      </c>
      <c r="O138" s="27">
        <v>1</v>
      </c>
      <c r="P138" s="32" t="str">
        <f t="shared" ref="P138:P169" si="20">E138&amp;"."&amp;O138</f>
        <v>13.1.17.1</v>
      </c>
      <c r="Q138" s="27" t="s">
        <v>323</v>
      </c>
      <c r="R138" s="27"/>
      <c r="S138" s="12" t="s">
        <v>324</v>
      </c>
      <c r="T138" s="33"/>
      <c r="U138" s="27"/>
      <c r="V138" s="17">
        <v>1</v>
      </c>
      <c r="W138" s="17">
        <v>3</v>
      </c>
      <c r="X138" s="27"/>
    </row>
    <row r="139" spans="1:24" ht="20.25" thickTop="1" thickBot="1" x14ac:dyDescent="0.3">
      <c r="A139" s="27">
        <v>13</v>
      </c>
      <c r="B139" s="27">
        <v>1</v>
      </c>
      <c r="C139" s="4">
        <f t="shared" si="18"/>
        <v>18</v>
      </c>
      <c r="D139" s="4">
        <f t="shared" si="17"/>
        <v>8</v>
      </c>
      <c r="E139" s="27" t="str">
        <f t="shared" si="19"/>
        <v>13.1.18</v>
      </c>
      <c r="F139" s="27" t="str">
        <f>P93</f>
        <v>12.1.16.2</v>
      </c>
      <c r="G139" s="30"/>
      <c r="H139" s="30" t="s">
        <v>473</v>
      </c>
      <c r="I139" s="27" t="s">
        <v>594</v>
      </c>
      <c r="J139" s="12"/>
      <c r="K139" s="33"/>
      <c r="L139" s="33"/>
      <c r="M139" s="33"/>
      <c r="N139" s="33" t="s">
        <v>556</v>
      </c>
      <c r="O139" s="27">
        <v>0</v>
      </c>
      <c r="P139" s="32" t="str">
        <f t="shared" si="20"/>
        <v>13.1.18.0</v>
      </c>
      <c r="Q139" s="27"/>
      <c r="R139" s="27"/>
      <c r="S139" s="12"/>
      <c r="T139" s="33"/>
      <c r="U139" s="27"/>
      <c r="V139" s="26">
        <v>0</v>
      </c>
      <c r="W139" s="26">
        <v>0</v>
      </c>
      <c r="X139" s="27"/>
    </row>
    <row r="140" spans="1:24" ht="20.25" thickTop="1" thickBot="1" x14ac:dyDescent="0.3">
      <c r="A140" s="27">
        <v>13</v>
      </c>
      <c r="B140" s="27">
        <v>1</v>
      </c>
      <c r="C140" s="4">
        <f t="shared" si="18"/>
        <v>19</v>
      </c>
      <c r="D140" s="4">
        <f>IF(I140="Nữ",IF((A140&lt;&gt;A139),0,D139),IF(A140&lt;&gt;A139,1,IF(ISBLANK(B140),D139,D139+1)))</f>
        <v>8</v>
      </c>
      <c r="E140" s="27" t="str">
        <f t="shared" si="19"/>
        <v>13.1.19</v>
      </c>
      <c r="F140" s="27" t="str">
        <f>P93</f>
        <v>12.1.16.2</v>
      </c>
      <c r="G140" s="30"/>
      <c r="H140" s="30" t="s">
        <v>474</v>
      </c>
      <c r="I140" s="27" t="s">
        <v>594</v>
      </c>
      <c r="J140" s="12"/>
      <c r="K140" s="33"/>
      <c r="L140" s="33"/>
      <c r="M140" s="33"/>
      <c r="N140" s="33" t="s">
        <v>556</v>
      </c>
      <c r="O140" s="27">
        <v>0</v>
      </c>
      <c r="P140" s="32" t="str">
        <f t="shared" si="20"/>
        <v>13.1.19.0</v>
      </c>
      <c r="Q140" s="27"/>
      <c r="R140" s="27"/>
      <c r="S140" s="12"/>
      <c r="T140" s="33"/>
      <c r="U140" s="27"/>
      <c r="V140" s="26">
        <v>0</v>
      </c>
      <c r="W140" s="26">
        <v>0</v>
      </c>
      <c r="X140" s="27"/>
    </row>
    <row r="141" spans="1:24" ht="20.25" thickTop="1" thickBot="1" x14ac:dyDescent="0.3">
      <c r="A141" s="27">
        <v>13</v>
      </c>
      <c r="B141" s="27">
        <v>1</v>
      </c>
      <c r="C141" s="4">
        <f t="shared" si="18"/>
        <v>20</v>
      </c>
      <c r="D141" s="4">
        <f t="shared" si="17"/>
        <v>8</v>
      </c>
      <c r="E141" s="27" t="str">
        <f t="shared" si="19"/>
        <v>13.1.20</v>
      </c>
      <c r="F141" s="27" t="str">
        <f>P93</f>
        <v>12.1.16.2</v>
      </c>
      <c r="G141" s="30"/>
      <c r="H141" s="30" t="s">
        <v>475</v>
      </c>
      <c r="I141" s="27" t="s">
        <v>594</v>
      </c>
      <c r="J141" s="12"/>
      <c r="K141" s="33"/>
      <c r="L141" s="33"/>
      <c r="M141" s="33"/>
      <c r="N141" s="33" t="s">
        <v>556</v>
      </c>
      <c r="O141" s="27">
        <v>0</v>
      </c>
      <c r="P141" s="32" t="str">
        <f t="shared" si="20"/>
        <v>13.1.20.0</v>
      </c>
      <c r="Q141" s="27"/>
      <c r="R141" s="27"/>
      <c r="S141" s="12"/>
      <c r="T141" s="33"/>
      <c r="U141" s="27"/>
      <c r="V141" s="26">
        <v>0</v>
      </c>
      <c r="W141" s="26">
        <v>0</v>
      </c>
      <c r="X141" s="27"/>
    </row>
    <row r="142" spans="1:24" ht="20.25" thickTop="1" thickBot="1" x14ac:dyDescent="0.3">
      <c r="A142" s="27">
        <v>13</v>
      </c>
      <c r="B142" s="27">
        <v>1</v>
      </c>
      <c r="C142" s="4">
        <f t="shared" si="18"/>
        <v>21</v>
      </c>
      <c r="D142" s="4">
        <f>IF(I142="Nữ",IF((A142&lt;&gt;A141),0,D141),IF(A142&lt;&gt;A141,1,IF(ISBLANK(B142),D141,D141+1)))</f>
        <v>8</v>
      </c>
      <c r="E142" s="27" t="str">
        <f t="shared" si="19"/>
        <v>13.1.21</v>
      </c>
      <c r="F142" s="27" t="str">
        <f>P93</f>
        <v>12.1.16.2</v>
      </c>
      <c r="G142" s="30"/>
      <c r="H142" s="30" t="s">
        <v>476</v>
      </c>
      <c r="I142" s="27" t="s">
        <v>594</v>
      </c>
      <c r="J142" s="12"/>
      <c r="K142" s="33"/>
      <c r="L142" s="33"/>
      <c r="M142" s="33"/>
      <c r="N142" s="33" t="s">
        <v>556</v>
      </c>
      <c r="O142" s="27">
        <v>0</v>
      </c>
      <c r="P142" s="32" t="str">
        <f t="shared" si="20"/>
        <v>13.1.21.0</v>
      </c>
      <c r="Q142" s="27"/>
      <c r="R142" s="27"/>
      <c r="S142" s="12"/>
      <c r="T142" s="33"/>
      <c r="U142" s="27"/>
      <c r="V142" s="26">
        <v>0</v>
      </c>
      <c r="W142" s="26">
        <v>0</v>
      </c>
      <c r="X142" s="27"/>
    </row>
    <row r="143" spans="1:24" ht="20.25" thickTop="1" thickBot="1" x14ac:dyDescent="0.3">
      <c r="A143" s="27">
        <v>13</v>
      </c>
      <c r="B143" s="27">
        <v>1</v>
      </c>
      <c r="C143" s="4">
        <f t="shared" si="18"/>
        <v>22</v>
      </c>
      <c r="D143" s="4">
        <f t="shared" si="17"/>
        <v>9</v>
      </c>
      <c r="E143" s="27" t="str">
        <f t="shared" si="19"/>
        <v>13.1.22</v>
      </c>
      <c r="F143" s="27" t="str">
        <f>P93</f>
        <v>12.1.16.2</v>
      </c>
      <c r="G143" s="30"/>
      <c r="H143" s="30" t="s">
        <v>325</v>
      </c>
      <c r="I143" s="27" t="s">
        <v>593</v>
      </c>
      <c r="J143" s="33" t="s">
        <v>328</v>
      </c>
      <c r="K143" s="33"/>
      <c r="L143" s="33"/>
      <c r="M143" s="33"/>
      <c r="N143" s="33" t="s">
        <v>552</v>
      </c>
      <c r="O143" s="27">
        <v>1</v>
      </c>
      <c r="P143" s="32" t="str">
        <f t="shared" si="20"/>
        <v>13.1.22.1</v>
      </c>
      <c r="Q143" s="17" t="s">
        <v>329</v>
      </c>
      <c r="R143" s="27"/>
      <c r="S143" s="12" t="s">
        <v>330</v>
      </c>
      <c r="T143" s="33"/>
      <c r="U143" s="27"/>
      <c r="V143" s="17">
        <v>1</v>
      </c>
      <c r="W143" s="17">
        <v>2</v>
      </c>
      <c r="X143" s="27"/>
    </row>
    <row r="144" spans="1:24" ht="20.25" thickTop="1" thickBot="1" x14ac:dyDescent="0.3">
      <c r="A144" s="27">
        <v>13</v>
      </c>
      <c r="B144" s="27">
        <v>1</v>
      </c>
      <c r="C144" s="4">
        <f t="shared" si="18"/>
        <v>23</v>
      </c>
      <c r="D144" s="4">
        <f t="shared" si="17"/>
        <v>10</v>
      </c>
      <c r="E144" s="27" t="str">
        <f t="shared" si="19"/>
        <v>13.1.23</v>
      </c>
      <c r="F144" s="27" t="str">
        <f>P94</f>
        <v>12.1.17.1</v>
      </c>
      <c r="G144" s="30"/>
      <c r="H144" s="30" t="s">
        <v>326</v>
      </c>
      <c r="I144" s="27" t="s">
        <v>593</v>
      </c>
      <c r="J144" s="33" t="s">
        <v>316</v>
      </c>
      <c r="K144" s="33"/>
      <c r="L144" s="33"/>
      <c r="M144" s="33"/>
      <c r="N144" s="33" t="s">
        <v>552</v>
      </c>
      <c r="O144" s="27">
        <v>1</v>
      </c>
      <c r="P144" s="32" t="str">
        <f t="shared" si="20"/>
        <v>13.1.23.1</v>
      </c>
      <c r="Q144" s="27" t="s">
        <v>331</v>
      </c>
      <c r="R144" s="27"/>
      <c r="S144" s="33" t="s">
        <v>332</v>
      </c>
      <c r="T144" s="33"/>
      <c r="U144" s="27"/>
      <c r="V144" s="17">
        <v>2</v>
      </c>
      <c r="W144" s="17">
        <v>0</v>
      </c>
      <c r="X144" s="27"/>
    </row>
    <row r="145" spans="1:24" ht="20.25" thickTop="1" thickBot="1" x14ac:dyDescent="0.3">
      <c r="A145" s="27">
        <v>13</v>
      </c>
      <c r="B145" s="27">
        <v>1</v>
      </c>
      <c r="C145" s="4">
        <f t="shared" si="18"/>
        <v>24</v>
      </c>
      <c r="D145" s="4">
        <f t="shared" si="17"/>
        <v>11</v>
      </c>
      <c r="E145" s="27" t="str">
        <f t="shared" si="19"/>
        <v>13.1.24</v>
      </c>
      <c r="F145" s="27" t="str">
        <f>P94</f>
        <v>12.1.17.1</v>
      </c>
      <c r="G145" s="30"/>
      <c r="H145" s="30" t="s">
        <v>327</v>
      </c>
      <c r="I145" s="27" t="s">
        <v>593</v>
      </c>
      <c r="J145" s="33" t="s">
        <v>157</v>
      </c>
      <c r="K145" s="33"/>
      <c r="L145" s="33"/>
      <c r="M145" s="33"/>
      <c r="N145" s="33" t="s">
        <v>552</v>
      </c>
      <c r="O145" s="27">
        <v>1</v>
      </c>
      <c r="P145" s="32" t="str">
        <f t="shared" si="20"/>
        <v>13.1.24.1</v>
      </c>
      <c r="Q145" s="17" t="s">
        <v>333</v>
      </c>
      <c r="R145" s="27"/>
      <c r="S145" s="33"/>
      <c r="T145" s="33"/>
      <c r="U145" s="27"/>
      <c r="V145" s="27">
        <v>0</v>
      </c>
      <c r="W145" s="27">
        <v>0</v>
      </c>
      <c r="X145" s="27"/>
    </row>
    <row r="146" spans="1:24" ht="20.25" thickTop="1" thickBot="1" x14ac:dyDescent="0.3">
      <c r="A146" s="27">
        <v>13</v>
      </c>
      <c r="B146" s="27">
        <v>1</v>
      </c>
      <c r="C146" s="4">
        <f t="shared" si="18"/>
        <v>25</v>
      </c>
      <c r="D146" s="4">
        <f t="shared" si="17"/>
        <v>11</v>
      </c>
      <c r="E146" s="27" t="str">
        <f t="shared" si="19"/>
        <v>13.1.25</v>
      </c>
      <c r="F146" s="27" t="str">
        <f>P94</f>
        <v>12.1.17.1</v>
      </c>
      <c r="G146" s="30"/>
      <c r="H146" s="30" t="s">
        <v>477</v>
      </c>
      <c r="I146" s="27" t="s">
        <v>594</v>
      </c>
      <c r="J146" s="33"/>
      <c r="K146" s="33"/>
      <c r="L146" s="33"/>
      <c r="M146" s="33"/>
      <c r="N146" s="33" t="s">
        <v>556</v>
      </c>
      <c r="O146" s="27">
        <v>0</v>
      </c>
      <c r="P146" s="32" t="str">
        <f t="shared" si="20"/>
        <v>13.1.25.0</v>
      </c>
      <c r="Q146" s="13"/>
      <c r="R146" s="27"/>
      <c r="S146" s="33"/>
      <c r="T146" s="33"/>
      <c r="U146" s="27"/>
      <c r="V146" s="27">
        <v>0</v>
      </c>
      <c r="W146" s="27">
        <v>0</v>
      </c>
      <c r="X146" s="27"/>
    </row>
    <row r="147" spans="1:24" ht="20.25" thickTop="1" thickBot="1" x14ac:dyDescent="0.3">
      <c r="A147" s="27">
        <v>13</v>
      </c>
      <c r="B147" s="27">
        <v>1</v>
      </c>
      <c r="C147" s="4">
        <f t="shared" si="18"/>
        <v>26</v>
      </c>
      <c r="D147" s="4">
        <f t="shared" si="17"/>
        <v>11</v>
      </c>
      <c r="E147" s="27" t="str">
        <f t="shared" si="19"/>
        <v>13.1.26</v>
      </c>
      <c r="F147" s="27" t="str">
        <f>P94</f>
        <v>12.1.17.1</v>
      </c>
      <c r="G147" s="30"/>
      <c r="H147" s="30" t="s">
        <v>478</v>
      </c>
      <c r="I147" s="27" t="s">
        <v>594</v>
      </c>
      <c r="J147" s="33"/>
      <c r="K147" s="33"/>
      <c r="L147" s="33"/>
      <c r="M147" s="33"/>
      <c r="N147" s="33" t="s">
        <v>556</v>
      </c>
      <c r="O147" s="27">
        <v>0</v>
      </c>
      <c r="P147" s="32" t="str">
        <f t="shared" si="20"/>
        <v>13.1.26.0</v>
      </c>
      <c r="Q147" s="13"/>
      <c r="R147" s="27"/>
      <c r="S147" s="33"/>
      <c r="T147" s="33"/>
      <c r="U147" s="27"/>
      <c r="V147" s="27">
        <v>0</v>
      </c>
      <c r="W147" s="27">
        <v>0</v>
      </c>
      <c r="X147" s="27"/>
    </row>
    <row r="148" spans="1:24" ht="20.25" thickTop="1" thickBot="1" x14ac:dyDescent="0.3">
      <c r="A148" s="27">
        <v>13</v>
      </c>
      <c r="B148" s="27">
        <v>1</v>
      </c>
      <c r="C148" s="4">
        <f t="shared" si="18"/>
        <v>27</v>
      </c>
      <c r="D148" s="4">
        <f t="shared" si="17"/>
        <v>12</v>
      </c>
      <c r="E148" s="27" t="str">
        <f t="shared" si="19"/>
        <v>13.1.27</v>
      </c>
      <c r="F148" s="27" t="str">
        <f>P110</f>
        <v>12.1.33.1</v>
      </c>
      <c r="G148" s="30"/>
      <c r="H148" s="30" t="s">
        <v>334</v>
      </c>
      <c r="I148" s="27" t="s">
        <v>593</v>
      </c>
      <c r="J148" s="33" t="s">
        <v>306</v>
      </c>
      <c r="K148" s="33"/>
      <c r="L148" s="33"/>
      <c r="M148" s="33"/>
      <c r="N148" s="33" t="s">
        <v>552</v>
      </c>
      <c r="O148" s="27">
        <v>1</v>
      </c>
      <c r="P148" s="32" t="str">
        <f t="shared" si="20"/>
        <v>13.1.27.1</v>
      </c>
      <c r="Q148" s="27" t="s">
        <v>337</v>
      </c>
      <c r="R148" s="27"/>
      <c r="S148" s="33"/>
      <c r="T148" s="33"/>
      <c r="U148" s="27"/>
      <c r="V148" s="27">
        <v>2</v>
      </c>
      <c r="W148" s="27">
        <v>1</v>
      </c>
      <c r="X148" s="27"/>
    </row>
    <row r="149" spans="1:24" ht="20.25" thickTop="1" thickBot="1" x14ac:dyDescent="0.3">
      <c r="A149" s="27">
        <v>13</v>
      </c>
      <c r="B149" s="27">
        <v>1</v>
      </c>
      <c r="C149" s="4">
        <f t="shared" si="18"/>
        <v>28</v>
      </c>
      <c r="D149" s="4">
        <f>IF(I149="Nữ",IF((A149&lt;&gt;A148),0,D148),IF(A149&lt;&gt;A148,1,IF(ISBLANK(B149),D148,D148+1)))</f>
        <v>13</v>
      </c>
      <c r="E149" s="27" t="str">
        <f t="shared" si="19"/>
        <v>13.1.28</v>
      </c>
      <c r="F149" s="27" t="str">
        <f>P110</f>
        <v>12.1.33.1</v>
      </c>
      <c r="G149" s="30"/>
      <c r="H149" s="30" t="s">
        <v>335</v>
      </c>
      <c r="I149" s="27" t="s">
        <v>593</v>
      </c>
      <c r="J149" s="33" t="s">
        <v>339</v>
      </c>
      <c r="K149" s="33" t="s">
        <v>340</v>
      </c>
      <c r="L149" s="33" t="s">
        <v>341</v>
      </c>
      <c r="M149" s="33" t="s">
        <v>235</v>
      </c>
      <c r="N149" s="33" t="s">
        <v>556</v>
      </c>
      <c r="O149" s="27">
        <v>0</v>
      </c>
      <c r="P149" s="32" t="str">
        <f t="shared" si="20"/>
        <v>13.1.28.0</v>
      </c>
      <c r="Q149" s="27"/>
      <c r="R149" s="27"/>
      <c r="S149" s="33"/>
      <c r="T149" s="33"/>
      <c r="U149" s="27"/>
      <c r="V149" s="27">
        <v>0</v>
      </c>
      <c r="W149" s="27">
        <v>0</v>
      </c>
      <c r="X149" s="27"/>
    </row>
    <row r="150" spans="1:24" ht="20.25" thickTop="1" thickBot="1" x14ac:dyDescent="0.3">
      <c r="A150" s="27">
        <v>13</v>
      </c>
      <c r="B150" s="27">
        <v>1</v>
      </c>
      <c r="C150" s="4">
        <f t="shared" si="18"/>
        <v>29</v>
      </c>
      <c r="D150" s="4">
        <f t="shared" si="17"/>
        <v>14</v>
      </c>
      <c r="E150" s="27" t="str">
        <f t="shared" si="19"/>
        <v>13.1.29</v>
      </c>
      <c r="F150" s="27" t="str">
        <f>P110</f>
        <v>12.1.33.1</v>
      </c>
      <c r="G150" s="30"/>
      <c r="H150" s="30" t="s">
        <v>336</v>
      </c>
      <c r="I150" s="27" t="s">
        <v>593</v>
      </c>
      <c r="J150" s="33" t="s">
        <v>106</v>
      </c>
      <c r="K150" s="33"/>
      <c r="L150" s="33"/>
      <c r="M150" s="33"/>
      <c r="N150" s="33" t="s">
        <v>552</v>
      </c>
      <c r="O150" s="27">
        <v>1</v>
      </c>
      <c r="P150" s="32" t="str">
        <f t="shared" si="20"/>
        <v>13.1.29.1</v>
      </c>
      <c r="Q150" s="27" t="s">
        <v>342</v>
      </c>
      <c r="R150" s="27"/>
      <c r="S150" s="33" t="s">
        <v>343</v>
      </c>
      <c r="T150" s="33"/>
      <c r="U150" s="27"/>
      <c r="V150" s="17">
        <v>2</v>
      </c>
      <c r="W150" s="17">
        <v>1</v>
      </c>
      <c r="X150" s="27"/>
    </row>
    <row r="151" spans="1:24" ht="20.25" thickTop="1" thickBot="1" x14ac:dyDescent="0.3">
      <c r="A151" s="27">
        <v>13</v>
      </c>
      <c r="B151" s="27">
        <v>1</v>
      </c>
      <c r="C151" s="4">
        <f t="shared" si="18"/>
        <v>30</v>
      </c>
      <c r="D151" s="4">
        <f>IF(I151="Nữ",IF((A151&lt;&gt;A150),0,D150),IF(A151&lt;&gt;A150,1,IF(ISBLANK(B151),D150,D150+1)))</f>
        <v>15</v>
      </c>
      <c r="E151" s="27" t="str">
        <f t="shared" si="19"/>
        <v>13.1.30</v>
      </c>
      <c r="F151" s="27" t="str">
        <f>P110</f>
        <v>12.1.33.1</v>
      </c>
      <c r="G151" s="30"/>
      <c r="H151" s="30" t="s">
        <v>338</v>
      </c>
      <c r="I151" s="27" t="s">
        <v>593</v>
      </c>
      <c r="J151" s="33" t="s">
        <v>316</v>
      </c>
      <c r="K151" s="33"/>
      <c r="L151" s="33"/>
      <c r="M151" s="33"/>
      <c r="N151" s="33" t="s">
        <v>552</v>
      </c>
      <c r="O151" s="27">
        <v>1</v>
      </c>
      <c r="P151" s="32" t="str">
        <f t="shared" si="20"/>
        <v>13.1.30.1</v>
      </c>
      <c r="Q151" s="27" t="s">
        <v>344</v>
      </c>
      <c r="R151" s="27"/>
      <c r="S151" s="33" t="s">
        <v>345</v>
      </c>
      <c r="T151" s="33"/>
      <c r="U151" s="27"/>
      <c r="V151" s="17">
        <v>0</v>
      </c>
      <c r="W151" s="17">
        <v>2</v>
      </c>
      <c r="X151" s="27"/>
    </row>
    <row r="152" spans="1:24" ht="20.25" thickTop="1" thickBot="1" x14ac:dyDescent="0.3">
      <c r="A152" s="27">
        <v>13</v>
      </c>
      <c r="B152" s="27">
        <v>1</v>
      </c>
      <c r="C152" s="4">
        <f t="shared" si="18"/>
        <v>31</v>
      </c>
      <c r="D152" s="4">
        <f t="shared" si="17"/>
        <v>15</v>
      </c>
      <c r="E152" s="27" t="str">
        <f t="shared" si="19"/>
        <v>13.1.31</v>
      </c>
      <c r="F152" s="27" t="str">
        <f>P110</f>
        <v>12.1.33.1</v>
      </c>
      <c r="G152" s="30"/>
      <c r="H152" s="30" t="s">
        <v>479</v>
      </c>
      <c r="I152" s="27" t="s">
        <v>594</v>
      </c>
      <c r="J152" s="33"/>
      <c r="K152" s="33"/>
      <c r="L152" s="33"/>
      <c r="M152" s="33"/>
      <c r="N152" s="33" t="s">
        <v>556</v>
      </c>
      <c r="O152" s="27">
        <v>0</v>
      </c>
      <c r="P152" s="32" t="str">
        <f t="shared" si="20"/>
        <v>13.1.31.0</v>
      </c>
      <c r="Q152" s="27"/>
      <c r="R152" s="27"/>
      <c r="S152" s="33"/>
      <c r="T152" s="33"/>
      <c r="U152" s="27"/>
      <c r="V152" s="26">
        <v>0</v>
      </c>
      <c r="W152" s="26">
        <v>0</v>
      </c>
      <c r="X152" s="27"/>
    </row>
    <row r="153" spans="1:24" ht="20.25" thickTop="1" thickBot="1" x14ac:dyDescent="0.3">
      <c r="A153" s="27">
        <v>13</v>
      </c>
      <c r="B153" s="27">
        <v>1</v>
      </c>
      <c r="C153" s="4">
        <f t="shared" si="18"/>
        <v>32</v>
      </c>
      <c r="D153" s="4">
        <f t="shared" si="17"/>
        <v>15</v>
      </c>
      <c r="E153" s="27" t="str">
        <f t="shared" si="19"/>
        <v>13.1.32</v>
      </c>
      <c r="F153" s="27" t="str">
        <f>P110</f>
        <v>12.1.33.1</v>
      </c>
      <c r="G153" s="30"/>
      <c r="H153" s="30" t="s">
        <v>480</v>
      </c>
      <c r="I153" s="27" t="s">
        <v>594</v>
      </c>
      <c r="J153" s="33"/>
      <c r="K153" s="33"/>
      <c r="L153" s="33"/>
      <c r="M153" s="33"/>
      <c r="N153" s="33" t="s">
        <v>556</v>
      </c>
      <c r="O153" s="27">
        <v>0</v>
      </c>
      <c r="P153" s="32" t="str">
        <f t="shared" si="20"/>
        <v>13.1.32.0</v>
      </c>
      <c r="Q153" s="27"/>
      <c r="R153" s="27"/>
      <c r="S153" s="33"/>
      <c r="T153" s="33"/>
      <c r="U153" s="27"/>
      <c r="V153" s="26">
        <v>0</v>
      </c>
      <c r="W153" s="26">
        <v>0</v>
      </c>
      <c r="X153" s="27"/>
    </row>
    <row r="154" spans="1:24" ht="20.25" thickTop="1" thickBot="1" x14ac:dyDescent="0.3">
      <c r="A154" s="27">
        <v>13</v>
      </c>
      <c r="B154" s="27">
        <v>1</v>
      </c>
      <c r="C154" s="4">
        <f t="shared" si="18"/>
        <v>33</v>
      </c>
      <c r="D154" s="4">
        <f t="shared" si="17"/>
        <v>15</v>
      </c>
      <c r="E154" s="27" t="str">
        <f t="shared" si="19"/>
        <v>13.1.33</v>
      </c>
      <c r="F154" s="27" t="str">
        <f>P110</f>
        <v>12.1.33.1</v>
      </c>
      <c r="G154" s="30"/>
      <c r="H154" s="30" t="s">
        <v>481</v>
      </c>
      <c r="I154" s="27" t="s">
        <v>594</v>
      </c>
      <c r="J154" s="33"/>
      <c r="K154" s="33"/>
      <c r="L154" s="33"/>
      <c r="M154" s="33"/>
      <c r="N154" s="33" t="s">
        <v>556</v>
      </c>
      <c r="O154" s="27">
        <v>0</v>
      </c>
      <c r="P154" s="32" t="str">
        <f t="shared" si="20"/>
        <v>13.1.33.0</v>
      </c>
      <c r="Q154" s="27"/>
      <c r="R154" s="27"/>
      <c r="S154" s="33"/>
      <c r="T154" s="33"/>
      <c r="U154" s="27"/>
      <c r="V154" s="26">
        <v>0</v>
      </c>
      <c r="W154" s="26">
        <v>0</v>
      </c>
      <c r="X154" s="27"/>
    </row>
    <row r="155" spans="1:24" ht="20.25" thickTop="1" thickBot="1" x14ac:dyDescent="0.3">
      <c r="A155" s="27">
        <v>13</v>
      </c>
      <c r="B155" s="27">
        <v>1</v>
      </c>
      <c r="C155" s="4">
        <f t="shared" si="18"/>
        <v>34</v>
      </c>
      <c r="D155" s="4">
        <f t="shared" si="17"/>
        <v>16</v>
      </c>
      <c r="E155" s="27" t="str">
        <f t="shared" si="19"/>
        <v>13.1.34</v>
      </c>
      <c r="F155" s="27" t="str">
        <f>P111</f>
        <v>12.1.33.2</v>
      </c>
      <c r="G155" s="30"/>
      <c r="H155" s="30" t="s">
        <v>346</v>
      </c>
      <c r="I155" s="27" t="s">
        <v>593</v>
      </c>
      <c r="J155" s="33" t="s">
        <v>343</v>
      </c>
      <c r="K155" s="33"/>
      <c r="L155" s="33"/>
      <c r="M155" s="33"/>
      <c r="N155" s="33" t="s">
        <v>552</v>
      </c>
      <c r="O155" s="27">
        <v>1</v>
      </c>
      <c r="P155" s="32" t="str">
        <f t="shared" si="20"/>
        <v>13.1.34.1</v>
      </c>
      <c r="Q155" s="27" t="s">
        <v>358</v>
      </c>
      <c r="R155" s="27"/>
      <c r="S155" s="33" t="s">
        <v>359</v>
      </c>
      <c r="T155" s="33"/>
      <c r="U155" s="27"/>
      <c r="V155" s="17">
        <v>2</v>
      </c>
      <c r="W155" s="17">
        <v>2</v>
      </c>
      <c r="X155" s="27"/>
    </row>
    <row r="156" spans="1:24" ht="20.25" thickTop="1" thickBot="1" x14ac:dyDescent="0.3">
      <c r="A156" s="27">
        <v>13</v>
      </c>
      <c r="B156" s="27">
        <v>1</v>
      </c>
      <c r="C156" s="4">
        <f t="shared" si="18"/>
        <v>35</v>
      </c>
      <c r="D156" s="4">
        <f t="shared" si="17"/>
        <v>17</v>
      </c>
      <c r="E156" s="27" t="str">
        <f t="shared" si="19"/>
        <v>13.1.35</v>
      </c>
      <c r="F156" s="27" t="str">
        <f>P111</f>
        <v>12.1.33.2</v>
      </c>
      <c r="G156" s="30"/>
      <c r="H156" s="30" t="s">
        <v>347</v>
      </c>
      <c r="I156" s="27" t="s">
        <v>593</v>
      </c>
      <c r="J156" s="33" t="s">
        <v>106</v>
      </c>
      <c r="K156" s="33"/>
      <c r="L156" s="33"/>
      <c r="M156" s="33"/>
      <c r="N156" s="33" t="s">
        <v>552</v>
      </c>
      <c r="O156" s="27">
        <v>1</v>
      </c>
      <c r="P156" s="32" t="str">
        <f t="shared" si="20"/>
        <v>13.1.35.1</v>
      </c>
      <c r="Q156" s="27" t="s">
        <v>360</v>
      </c>
      <c r="R156" s="27"/>
      <c r="S156" s="33"/>
      <c r="T156" s="33"/>
      <c r="U156" s="27"/>
      <c r="V156" s="17">
        <v>1</v>
      </c>
      <c r="W156" s="17">
        <v>1</v>
      </c>
      <c r="X156" s="27"/>
    </row>
    <row r="157" spans="1:24" ht="20.25" thickTop="1" thickBot="1" x14ac:dyDescent="0.3">
      <c r="A157" s="27">
        <v>13</v>
      </c>
      <c r="B157" s="27">
        <v>1</v>
      </c>
      <c r="C157" s="4">
        <f t="shared" si="18"/>
        <v>36</v>
      </c>
      <c r="D157" s="4">
        <f t="shared" si="17"/>
        <v>18</v>
      </c>
      <c r="E157" s="27" t="str">
        <f t="shared" si="19"/>
        <v>13.1.36</v>
      </c>
      <c r="F157" s="27" t="str">
        <f>P112</f>
        <v>12.1.34.1</v>
      </c>
      <c r="G157" s="30"/>
      <c r="H157" s="30" t="s">
        <v>348</v>
      </c>
      <c r="I157" s="27" t="s">
        <v>593</v>
      </c>
      <c r="J157" s="33"/>
      <c r="K157" s="33"/>
      <c r="L157" s="33"/>
      <c r="M157" s="33"/>
      <c r="N157" s="33" t="s">
        <v>556</v>
      </c>
      <c r="O157" s="27" t="s">
        <v>321</v>
      </c>
      <c r="P157" s="32" t="str">
        <f t="shared" si="20"/>
        <v>13.1.36.?</v>
      </c>
      <c r="Q157" s="27"/>
      <c r="R157" s="27"/>
      <c r="S157" s="33"/>
      <c r="T157" s="33"/>
      <c r="U157" s="27"/>
      <c r="V157" s="27">
        <v>0</v>
      </c>
      <c r="W157" s="27">
        <v>0</v>
      </c>
      <c r="X157" s="27"/>
    </row>
    <row r="158" spans="1:24" ht="20.25" thickTop="1" thickBot="1" x14ac:dyDescent="0.3">
      <c r="A158" s="27">
        <v>13</v>
      </c>
      <c r="B158" s="27">
        <v>1</v>
      </c>
      <c r="C158" s="4">
        <f t="shared" si="18"/>
        <v>37</v>
      </c>
      <c r="D158" s="4">
        <f>IF(I158="Nữ",IF((A158&lt;&gt;A157),0,D157),IF(A158&lt;&gt;A157,1,IF(ISBLANK(B158),D157,D157+1)))</f>
        <v>18</v>
      </c>
      <c r="E158" s="27" t="str">
        <f t="shared" si="19"/>
        <v>13.1.37</v>
      </c>
      <c r="F158" s="27" t="str">
        <f>P112</f>
        <v>12.1.34.1</v>
      </c>
      <c r="G158" s="30"/>
      <c r="H158" s="30" t="s">
        <v>482</v>
      </c>
      <c r="I158" s="27" t="s">
        <v>594</v>
      </c>
      <c r="J158" s="33"/>
      <c r="K158" s="33"/>
      <c r="L158" s="33"/>
      <c r="M158" s="33"/>
      <c r="N158" s="33" t="s">
        <v>556</v>
      </c>
      <c r="O158" s="27" t="s">
        <v>321</v>
      </c>
      <c r="P158" s="32" t="str">
        <f t="shared" si="20"/>
        <v>13.1.37.?</v>
      </c>
      <c r="Q158" s="27"/>
      <c r="R158" s="27"/>
      <c r="S158" s="33"/>
      <c r="T158" s="33"/>
      <c r="U158" s="27"/>
      <c r="V158" s="27">
        <v>0</v>
      </c>
      <c r="W158" s="27">
        <v>0</v>
      </c>
      <c r="X158" s="27"/>
    </row>
    <row r="159" spans="1:24" ht="20.25" thickTop="1" thickBot="1" x14ac:dyDescent="0.3">
      <c r="A159" s="27">
        <v>13</v>
      </c>
      <c r="B159" s="27">
        <v>1</v>
      </c>
      <c r="C159" s="4">
        <f t="shared" si="18"/>
        <v>38</v>
      </c>
      <c r="D159" s="4">
        <f t="shared" si="17"/>
        <v>18</v>
      </c>
      <c r="E159" s="27" t="str">
        <f t="shared" si="19"/>
        <v>13.1.38</v>
      </c>
      <c r="F159" s="27" t="str">
        <f>P112</f>
        <v>12.1.34.1</v>
      </c>
      <c r="G159" s="30"/>
      <c r="H159" s="30" t="s">
        <v>427</v>
      </c>
      <c r="I159" s="27" t="s">
        <v>594</v>
      </c>
      <c r="J159" s="33"/>
      <c r="K159" s="33"/>
      <c r="L159" s="33"/>
      <c r="M159" s="33"/>
      <c r="N159" s="33" t="s">
        <v>556</v>
      </c>
      <c r="O159" s="27">
        <v>0</v>
      </c>
      <c r="P159" s="32" t="str">
        <f t="shared" si="20"/>
        <v>13.1.38.0</v>
      </c>
      <c r="Q159" s="27"/>
      <c r="R159" s="27"/>
      <c r="S159" s="33"/>
      <c r="T159" s="33"/>
      <c r="U159" s="27"/>
      <c r="V159" s="27">
        <v>0</v>
      </c>
      <c r="W159" s="27">
        <v>0</v>
      </c>
      <c r="X159" s="27"/>
    </row>
    <row r="160" spans="1:24" ht="20.25" thickTop="1" thickBot="1" x14ac:dyDescent="0.3">
      <c r="A160" s="27">
        <v>13</v>
      </c>
      <c r="B160" s="27">
        <v>1</v>
      </c>
      <c r="C160" s="4">
        <f t="shared" si="18"/>
        <v>39</v>
      </c>
      <c r="D160" s="4">
        <f t="shared" si="17"/>
        <v>18</v>
      </c>
      <c r="E160" s="27" t="str">
        <f t="shared" si="19"/>
        <v>13.1.39</v>
      </c>
      <c r="F160" s="27" t="str">
        <f>P112</f>
        <v>12.1.34.1</v>
      </c>
      <c r="G160" s="30"/>
      <c r="H160" s="30" t="s">
        <v>483</v>
      </c>
      <c r="I160" s="27" t="s">
        <v>594</v>
      </c>
      <c r="J160" s="33"/>
      <c r="K160" s="33"/>
      <c r="L160" s="33"/>
      <c r="M160" s="33"/>
      <c r="N160" s="33" t="s">
        <v>556</v>
      </c>
      <c r="O160" s="27">
        <v>0</v>
      </c>
      <c r="P160" s="32" t="str">
        <f t="shared" si="20"/>
        <v>13.1.39.0</v>
      </c>
      <c r="Q160" s="27"/>
      <c r="R160" s="27"/>
      <c r="S160" s="33"/>
      <c r="T160" s="33"/>
      <c r="U160" s="27"/>
      <c r="V160" s="27">
        <v>0</v>
      </c>
      <c r="W160" s="27">
        <v>0</v>
      </c>
      <c r="X160" s="27"/>
    </row>
    <row r="161" spans="1:24" ht="20.25" thickTop="1" thickBot="1" x14ac:dyDescent="0.3">
      <c r="A161" s="27">
        <v>13</v>
      </c>
      <c r="B161" s="27">
        <v>1</v>
      </c>
      <c r="C161" s="4">
        <f t="shared" si="18"/>
        <v>40</v>
      </c>
      <c r="D161" s="4">
        <f t="shared" si="17"/>
        <v>18</v>
      </c>
      <c r="E161" s="27" t="str">
        <f t="shared" si="19"/>
        <v>13.1.40</v>
      </c>
      <c r="F161" s="27" t="str">
        <f>P112</f>
        <v>12.1.34.1</v>
      </c>
      <c r="G161" s="30"/>
      <c r="H161" s="30" t="s">
        <v>444</v>
      </c>
      <c r="I161" s="27" t="s">
        <v>594</v>
      </c>
      <c r="J161" s="33"/>
      <c r="K161" s="33"/>
      <c r="L161" s="33"/>
      <c r="M161" s="33"/>
      <c r="N161" s="33" t="s">
        <v>556</v>
      </c>
      <c r="O161" s="27">
        <v>0</v>
      </c>
      <c r="P161" s="32" t="str">
        <f t="shared" si="20"/>
        <v>13.1.40.0</v>
      </c>
      <c r="Q161" s="27"/>
      <c r="R161" s="27"/>
      <c r="S161" s="33"/>
      <c r="T161" s="33"/>
      <c r="U161" s="27"/>
      <c r="V161" s="27">
        <v>0</v>
      </c>
      <c r="W161" s="27">
        <v>0</v>
      </c>
      <c r="X161" s="27"/>
    </row>
    <row r="162" spans="1:24" ht="20.25" thickTop="1" thickBot="1" x14ac:dyDescent="0.3">
      <c r="A162" s="27">
        <v>13</v>
      </c>
      <c r="B162" s="27">
        <v>1</v>
      </c>
      <c r="C162" s="4">
        <f t="shared" si="18"/>
        <v>41</v>
      </c>
      <c r="D162" s="4">
        <f t="shared" si="17"/>
        <v>19</v>
      </c>
      <c r="E162" s="27" t="str">
        <f t="shared" si="19"/>
        <v>13.1.41</v>
      </c>
      <c r="F162" s="27" t="str">
        <f>P115</f>
        <v>12.1.37.1</v>
      </c>
      <c r="G162" s="30"/>
      <c r="H162" s="30" t="s">
        <v>349</v>
      </c>
      <c r="I162" s="27" t="s">
        <v>593</v>
      </c>
      <c r="J162" s="33"/>
      <c r="K162" s="33"/>
      <c r="L162" s="33"/>
      <c r="M162" s="33"/>
      <c r="N162" s="33" t="s">
        <v>556</v>
      </c>
      <c r="O162" s="27" t="s">
        <v>321</v>
      </c>
      <c r="P162" s="32" t="str">
        <f t="shared" si="20"/>
        <v>13.1.41.?</v>
      </c>
      <c r="Q162" s="27"/>
      <c r="R162" s="27"/>
      <c r="S162" s="33"/>
      <c r="T162" s="33"/>
      <c r="U162" s="27"/>
      <c r="V162" s="27">
        <v>0</v>
      </c>
      <c r="W162" s="27">
        <v>0</v>
      </c>
      <c r="X162" s="27"/>
    </row>
    <row r="163" spans="1:24" ht="20.25" thickTop="1" thickBot="1" x14ac:dyDescent="0.3">
      <c r="A163" s="27">
        <v>13</v>
      </c>
      <c r="B163" s="27">
        <v>1</v>
      </c>
      <c r="C163" s="4">
        <f t="shared" si="18"/>
        <v>42</v>
      </c>
      <c r="D163" s="4">
        <f t="shared" si="17"/>
        <v>20</v>
      </c>
      <c r="E163" s="27" t="str">
        <f t="shared" si="19"/>
        <v>13.1.42</v>
      </c>
      <c r="F163" s="27" t="str">
        <f>P115</f>
        <v>12.1.37.1</v>
      </c>
      <c r="G163" s="30"/>
      <c r="H163" s="30" t="s">
        <v>350</v>
      </c>
      <c r="I163" s="27" t="s">
        <v>593</v>
      </c>
      <c r="J163" s="33"/>
      <c r="K163" s="33"/>
      <c r="L163" s="33"/>
      <c r="M163" s="33"/>
      <c r="N163" s="33" t="s">
        <v>556</v>
      </c>
      <c r="O163" s="27" t="s">
        <v>321</v>
      </c>
      <c r="P163" s="32" t="str">
        <f t="shared" si="20"/>
        <v>13.1.42.?</v>
      </c>
      <c r="Q163" s="27"/>
      <c r="R163" s="27"/>
      <c r="S163" s="33"/>
      <c r="T163" s="33"/>
      <c r="U163" s="27"/>
      <c r="V163" s="27">
        <v>0</v>
      </c>
      <c r="W163" s="27">
        <v>0</v>
      </c>
      <c r="X163" s="27"/>
    </row>
    <row r="164" spans="1:24" ht="20.25" thickTop="1" thickBot="1" x14ac:dyDescent="0.3">
      <c r="A164" s="27">
        <v>13</v>
      </c>
      <c r="B164" s="27">
        <v>1</v>
      </c>
      <c r="C164" s="4">
        <f t="shared" si="18"/>
        <v>43</v>
      </c>
      <c r="D164" s="4">
        <f t="shared" si="17"/>
        <v>20</v>
      </c>
      <c r="E164" s="27" t="str">
        <f t="shared" si="19"/>
        <v>13.1.43</v>
      </c>
      <c r="F164" s="27" t="str">
        <f>P115</f>
        <v>12.1.37.1</v>
      </c>
      <c r="G164" s="30"/>
      <c r="H164" s="30" t="s">
        <v>484</v>
      </c>
      <c r="I164" s="27" t="s">
        <v>594</v>
      </c>
      <c r="J164" s="33"/>
      <c r="K164" s="33"/>
      <c r="L164" s="33"/>
      <c r="M164" s="33"/>
      <c r="N164" s="33" t="s">
        <v>556</v>
      </c>
      <c r="O164" s="27">
        <v>0</v>
      </c>
      <c r="P164" s="32" t="str">
        <f t="shared" si="20"/>
        <v>13.1.43.0</v>
      </c>
      <c r="Q164" s="27"/>
      <c r="R164" s="27"/>
      <c r="S164" s="33"/>
      <c r="T164" s="33"/>
      <c r="U164" s="27"/>
      <c r="V164" s="27">
        <v>0</v>
      </c>
      <c r="W164" s="27">
        <v>0</v>
      </c>
      <c r="X164" s="27"/>
    </row>
    <row r="165" spans="1:24" ht="20.25" thickTop="1" thickBot="1" x14ac:dyDescent="0.3">
      <c r="A165" s="27">
        <v>13</v>
      </c>
      <c r="B165" s="27">
        <v>1</v>
      </c>
      <c r="C165" s="4">
        <f t="shared" si="18"/>
        <v>44</v>
      </c>
      <c r="D165" s="4">
        <f>IF(I165="Nữ",IF((A165&lt;&gt;A164),0,D164),IF(A165&lt;&gt;A164,1,IF(ISBLANK(B165),D164,D164+1)))</f>
        <v>21</v>
      </c>
      <c r="E165" s="27" t="str">
        <f t="shared" si="19"/>
        <v>13.1.44</v>
      </c>
      <c r="F165" s="27" t="str">
        <f>P117</f>
        <v>12.1.39.1</v>
      </c>
      <c r="G165" s="30"/>
      <c r="H165" s="30" t="s">
        <v>351</v>
      </c>
      <c r="I165" s="27" t="s">
        <v>593</v>
      </c>
      <c r="J165" s="33" t="s">
        <v>362</v>
      </c>
      <c r="K165" s="33" t="s">
        <v>363</v>
      </c>
      <c r="L165" s="33" t="s">
        <v>364</v>
      </c>
      <c r="M165" s="33"/>
      <c r="N165" s="33" t="s">
        <v>552</v>
      </c>
      <c r="O165" s="27">
        <v>1</v>
      </c>
      <c r="P165" s="32" t="str">
        <f t="shared" si="20"/>
        <v>13.1.44.1</v>
      </c>
      <c r="Q165" s="27" t="s">
        <v>365</v>
      </c>
      <c r="R165" s="27"/>
      <c r="S165" s="33" t="s">
        <v>233</v>
      </c>
      <c r="T165" s="33"/>
      <c r="U165" s="27"/>
      <c r="V165" s="27">
        <v>2</v>
      </c>
      <c r="W165" s="27">
        <v>3</v>
      </c>
      <c r="X165" s="27"/>
    </row>
    <row r="166" spans="1:24" ht="20.25" thickTop="1" thickBot="1" x14ac:dyDescent="0.3">
      <c r="A166" s="27">
        <v>13</v>
      </c>
      <c r="B166" s="27">
        <v>1</v>
      </c>
      <c r="C166" s="4">
        <f t="shared" si="18"/>
        <v>45</v>
      </c>
      <c r="D166" s="4">
        <f t="shared" si="17"/>
        <v>21</v>
      </c>
      <c r="E166" s="27" t="str">
        <f t="shared" si="19"/>
        <v>13.1.45</v>
      </c>
      <c r="F166" s="27" t="str">
        <f>P117</f>
        <v>12.1.39.1</v>
      </c>
      <c r="G166" s="30"/>
      <c r="H166" s="30" t="s">
        <v>483</v>
      </c>
      <c r="I166" s="27" t="s">
        <v>594</v>
      </c>
      <c r="J166" s="33"/>
      <c r="K166" s="33"/>
      <c r="L166" s="33"/>
      <c r="M166" s="33"/>
      <c r="N166" s="33" t="s">
        <v>556</v>
      </c>
      <c r="O166" s="27">
        <v>0</v>
      </c>
      <c r="P166" s="32" t="str">
        <f t="shared" si="20"/>
        <v>13.1.45.0</v>
      </c>
      <c r="Q166" s="27"/>
      <c r="R166" s="27"/>
      <c r="S166" s="33"/>
      <c r="T166" s="33"/>
      <c r="U166" s="27"/>
      <c r="V166" s="27">
        <v>0</v>
      </c>
      <c r="W166" s="27">
        <v>0</v>
      </c>
      <c r="X166" s="27"/>
    </row>
    <row r="167" spans="1:24" ht="20.25" thickTop="1" thickBot="1" x14ac:dyDescent="0.3">
      <c r="A167" s="27">
        <v>13</v>
      </c>
      <c r="B167" s="27">
        <v>1</v>
      </c>
      <c r="C167" s="4">
        <f t="shared" si="18"/>
        <v>46</v>
      </c>
      <c r="D167" s="4">
        <f>IF(I167="Nữ",IF((A167&lt;&gt;A166),0,D166),IF(A167&lt;&gt;A166,1,IF(ISBLANK(B167),D166,D166+1)))</f>
        <v>21</v>
      </c>
      <c r="E167" s="27" t="str">
        <f t="shared" si="19"/>
        <v>13.1.46</v>
      </c>
      <c r="F167" s="27" t="str">
        <f>P117</f>
        <v>12.1.39.1</v>
      </c>
      <c r="G167" s="30"/>
      <c r="H167" s="30" t="s">
        <v>485</v>
      </c>
      <c r="I167" s="27" t="s">
        <v>594</v>
      </c>
      <c r="J167" s="33"/>
      <c r="K167" s="33"/>
      <c r="L167" s="33"/>
      <c r="M167" s="33"/>
      <c r="N167" s="33" t="s">
        <v>556</v>
      </c>
      <c r="O167" s="27">
        <v>0</v>
      </c>
      <c r="P167" s="32" t="str">
        <f t="shared" si="20"/>
        <v>13.1.46.0</v>
      </c>
      <c r="Q167" s="27"/>
      <c r="R167" s="27"/>
      <c r="S167" s="33"/>
      <c r="T167" s="33"/>
      <c r="U167" s="27"/>
      <c r="V167" s="27">
        <v>0</v>
      </c>
      <c r="W167" s="27">
        <v>0</v>
      </c>
      <c r="X167" s="27"/>
    </row>
    <row r="168" spans="1:24" ht="20.25" thickTop="1" thickBot="1" x14ac:dyDescent="0.3">
      <c r="A168" s="27">
        <v>13</v>
      </c>
      <c r="B168" s="27">
        <v>1</v>
      </c>
      <c r="C168" s="4">
        <f t="shared" si="18"/>
        <v>47</v>
      </c>
      <c r="D168" s="4">
        <f>IF(I168="Nữ",IF((A168&lt;&gt;A167),0,D167),IF(A168&lt;&gt;A167,1,IF(ISBLANK(B168),D167,D167+1)))</f>
        <v>22</v>
      </c>
      <c r="E168" s="27" t="str">
        <f t="shared" si="19"/>
        <v>13.1.47</v>
      </c>
      <c r="F168" s="27" t="str">
        <f>P118</f>
        <v>12.1.40.1</v>
      </c>
      <c r="G168" s="30" t="s">
        <v>587</v>
      </c>
      <c r="H168" s="30" t="s">
        <v>463</v>
      </c>
      <c r="I168" s="27" t="s">
        <v>593</v>
      </c>
      <c r="J168" s="33" t="s">
        <v>366</v>
      </c>
      <c r="K168" s="33"/>
      <c r="L168" s="33"/>
      <c r="M168" s="33" t="s">
        <v>361</v>
      </c>
      <c r="N168" s="33" t="s">
        <v>552</v>
      </c>
      <c r="O168" s="27">
        <v>1</v>
      </c>
      <c r="P168" s="32" t="str">
        <f t="shared" si="20"/>
        <v>13.1.47.1</v>
      </c>
      <c r="Q168" s="27" t="s">
        <v>367</v>
      </c>
      <c r="R168" s="27"/>
      <c r="S168" s="33" t="s">
        <v>343</v>
      </c>
      <c r="T168" s="33"/>
      <c r="U168" s="27"/>
      <c r="V168" s="27">
        <v>1</v>
      </c>
      <c r="W168" s="27">
        <v>2</v>
      </c>
      <c r="X168" s="27"/>
    </row>
    <row r="169" spans="1:24" ht="20.25" thickTop="1" thickBot="1" x14ac:dyDescent="0.3">
      <c r="A169" s="27">
        <v>13</v>
      </c>
      <c r="B169" s="27">
        <v>1</v>
      </c>
      <c r="C169" s="4">
        <f t="shared" si="18"/>
        <v>48</v>
      </c>
      <c r="D169" s="4">
        <f t="shared" ref="D169:D171" si="21">IF(I169="Nữ",IF((A169&lt;&gt;A168),0,D168),IF(A169&lt;&gt;A168,1,IF(ISBLANK(B169),D168,D168+1)))</f>
        <v>23</v>
      </c>
      <c r="E169" s="27" t="str">
        <f t="shared" si="19"/>
        <v>13.1.48</v>
      </c>
      <c r="F169" s="27" t="str">
        <f>P118</f>
        <v>12.1.40.1</v>
      </c>
      <c r="G169" s="30"/>
      <c r="H169" s="30" t="s">
        <v>352</v>
      </c>
      <c r="I169" s="27" t="s">
        <v>593</v>
      </c>
      <c r="J169" s="33" t="s">
        <v>106</v>
      </c>
      <c r="K169" s="33" t="s">
        <v>368</v>
      </c>
      <c r="L169" s="33" t="s">
        <v>369</v>
      </c>
      <c r="M169" s="33"/>
      <c r="N169" s="33" t="s">
        <v>552</v>
      </c>
      <c r="O169" s="27">
        <v>1</v>
      </c>
      <c r="P169" s="32" t="str">
        <f t="shared" si="20"/>
        <v>13.1.48.1</v>
      </c>
      <c r="Q169" s="27" t="s">
        <v>370</v>
      </c>
      <c r="R169" s="27"/>
      <c r="S169" s="33" t="s">
        <v>359</v>
      </c>
      <c r="T169" s="33"/>
      <c r="U169" s="27"/>
      <c r="V169" s="27">
        <v>1</v>
      </c>
      <c r="W169" s="27">
        <v>1</v>
      </c>
      <c r="X169" s="27"/>
    </row>
    <row r="170" spans="1:24" ht="20.25" thickTop="1" thickBot="1" x14ac:dyDescent="0.3">
      <c r="A170" s="27">
        <v>13</v>
      </c>
      <c r="B170" s="27">
        <v>1</v>
      </c>
      <c r="C170" s="4">
        <f t="shared" si="18"/>
        <v>49</v>
      </c>
      <c r="D170" s="4">
        <f t="shared" si="21"/>
        <v>24</v>
      </c>
      <c r="E170" s="27" t="str">
        <f t="shared" si="19"/>
        <v>13.1.49</v>
      </c>
      <c r="F170" s="27" t="str">
        <f>P118</f>
        <v>12.1.40.1</v>
      </c>
      <c r="G170" s="30"/>
      <c r="H170" s="30" t="s">
        <v>353</v>
      </c>
      <c r="I170" s="27" t="s">
        <v>593</v>
      </c>
      <c r="J170" s="33" t="s">
        <v>316</v>
      </c>
      <c r="K170" s="33"/>
      <c r="L170" s="33"/>
      <c r="M170" s="33"/>
      <c r="N170" s="33" t="s">
        <v>556</v>
      </c>
      <c r="O170" s="27" t="s">
        <v>321</v>
      </c>
      <c r="P170" s="32" t="str">
        <f t="shared" ref="P170:P201" si="22">E170&amp;"."&amp;O170</f>
        <v>13.1.49.?</v>
      </c>
      <c r="Q170" s="27"/>
      <c r="R170" s="27"/>
      <c r="S170" s="33"/>
      <c r="T170" s="33"/>
      <c r="U170" s="27"/>
      <c r="V170" s="27">
        <v>0</v>
      </c>
      <c r="W170" s="27">
        <v>0</v>
      </c>
      <c r="X170" s="27"/>
    </row>
    <row r="171" spans="1:24" ht="20.25" thickTop="1" thickBot="1" x14ac:dyDescent="0.3">
      <c r="A171" s="27">
        <v>13</v>
      </c>
      <c r="B171" s="27">
        <v>1</v>
      </c>
      <c r="C171" s="4">
        <f t="shared" si="18"/>
        <v>50</v>
      </c>
      <c r="D171" s="4">
        <f t="shared" si="21"/>
        <v>25</v>
      </c>
      <c r="E171" s="27" t="str">
        <f t="shared" si="19"/>
        <v>13.1.50</v>
      </c>
      <c r="F171" s="27" t="str">
        <f>P118</f>
        <v>12.1.40.1</v>
      </c>
      <c r="G171" s="30"/>
      <c r="H171" s="30" t="s">
        <v>354</v>
      </c>
      <c r="I171" s="27" t="s">
        <v>593</v>
      </c>
      <c r="J171" s="33" t="s">
        <v>371</v>
      </c>
      <c r="K171" s="33"/>
      <c r="L171" s="33"/>
      <c r="M171" s="33"/>
      <c r="N171" s="33" t="s">
        <v>556</v>
      </c>
      <c r="O171" s="27" t="s">
        <v>321</v>
      </c>
      <c r="P171" s="32" t="str">
        <f t="shared" si="22"/>
        <v>13.1.50.?</v>
      </c>
      <c r="Q171" s="27"/>
      <c r="R171" s="27"/>
      <c r="S171" s="33"/>
      <c r="T171" s="33"/>
      <c r="U171" s="27"/>
      <c r="V171" s="27">
        <v>0</v>
      </c>
      <c r="W171" s="27">
        <v>0</v>
      </c>
      <c r="X171" s="27"/>
    </row>
    <row r="172" spans="1:24" ht="20.25" thickTop="1" thickBot="1" x14ac:dyDescent="0.3">
      <c r="A172" s="27">
        <v>13</v>
      </c>
      <c r="B172" s="27">
        <v>1</v>
      </c>
      <c r="C172" s="4">
        <f t="shared" si="18"/>
        <v>51</v>
      </c>
      <c r="D172" s="4">
        <f>IF(I172="Nữ",IF((A172&lt;&gt;A171),0,D171),IF(A172&lt;&gt;A171,1,IF(ISBLANK(B172),D171,D171+1)))</f>
        <v>25</v>
      </c>
      <c r="E172" s="27" t="str">
        <f t="shared" si="19"/>
        <v>13.1.51</v>
      </c>
      <c r="F172" s="27" t="str">
        <f>P118</f>
        <v>12.1.40.1</v>
      </c>
      <c r="G172" s="30"/>
      <c r="H172" s="30" t="s">
        <v>486</v>
      </c>
      <c r="I172" s="27" t="s">
        <v>594</v>
      </c>
      <c r="J172" s="33"/>
      <c r="K172" s="33"/>
      <c r="L172" s="33"/>
      <c r="M172" s="33"/>
      <c r="N172" s="33" t="s">
        <v>556</v>
      </c>
      <c r="O172" s="27">
        <v>0</v>
      </c>
      <c r="P172" s="32" t="str">
        <f t="shared" si="22"/>
        <v>13.1.51.0</v>
      </c>
      <c r="Q172" s="27"/>
      <c r="R172" s="27"/>
      <c r="S172" s="33"/>
      <c r="T172" s="33"/>
      <c r="U172" s="27"/>
      <c r="V172" s="27">
        <v>0</v>
      </c>
      <c r="W172" s="27">
        <v>0</v>
      </c>
      <c r="X172" s="27"/>
    </row>
    <row r="173" spans="1:24" ht="20.25" thickTop="1" thickBot="1" x14ac:dyDescent="0.3">
      <c r="A173" s="27">
        <v>13</v>
      </c>
      <c r="B173" s="27">
        <v>1</v>
      </c>
      <c r="C173" s="4">
        <f t="shared" si="18"/>
        <v>52</v>
      </c>
      <c r="D173" s="4">
        <f t="shared" ref="D173:D182" si="23">IF(I173="Nữ",IF((A173&lt;&gt;A172),0,D172),IF(A173&lt;&gt;A172,1,IF(ISBLANK(B173),D172,D172+1)))</f>
        <v>25</v>
      </c>
      <c r="E173" s="27" t="str">
        <f t="shared" si="19"/>
        <v>13.1.52</v>
      </c>
      <c r="F173" s="27" t="str">
        <f>P118</f>
        <v>12.1.40.1</v>
      </c>
      <c r="G173" s="30"/>
      <c r="H173" s="30" t="s">
        <v>487</v>
      </c>
      <c r="I173" s="27" t="s">
        <v>594</v>
      </c>
      <c r="J173" s="33"/>
      <c r="K173" s="33"/>
      <c r="L173" s="33"/>
      <c r="M173" s="33"/>
      <c r="N173" s="33" t="s">
        <v>556</v>
      </c>
      <c r="O173" s="27">
        <v>0</v>
      </c>
      <c r="P173" s="32" t="str">
        <f t="shared" si="22"/>
        <v>13.1.52.0</v>
      </c>
      <c r="Q173" s="27"/>
      <c r="R173" s="27"/>
      <c r="S173" s="33"/>
      <c r="T173" s="33"/>
      <c r="U173" s="27"/>
      <c r="V173" s="27">
        <v>0</v>
      </c>
      <c r="W173" s="27">
        <v>0</v>
      </c>
      <c r="X173" s="27"/>
    </row>
    <row r="174" spans="1:24" ht="20.25" thickTop="1" thickBot="1" x14ac:dyDescent="0.3">
      <c r="A174" s="27">
        <v>13</v>
      </c>
      <c r="B174" s="27">
        <v>1</v>
      </c>
      <c r="C174" s="4">
        <f t="shared" si="18"/>
        <v>53</v>
      </c>
      <c r="D174" s="4">
        <f t="shared" si="23"/>
        <v>25</v>
      </c>
      <c r="E174" s="27" t="str">
        <f t="shared" si="19"/>
        <v>13.1.53</v>
      </c>
      <c r="F174" s="27" t="str">
        <f>P118</f>
        <v>12.1.40.1</v>
      </c>
      <c r="G174" s="30"/>
      <c r="H174" s="30" t="s">
        <v>488</v>
      </c>
      <c r="I174" s="27" t="s">
        <v>594</v>
      </c>
      <c r="J174" s="33"/>
      <c r="K174" s="33"/>
      <c r="L174" s="33"/>
      <c r="M174" s="33"/>
      <c r="N174" s="33" t="s">
        <v>556</v>
      </c>
      <c r="O174" s="27">
        <v>0</v>
      </c>
      <c r="P174" s="32" t="str">
        <f t="shared" si="22"/>
        <v>13.1.53.0</v>
      </c>
      <c r="Q174" s="27"/>
      <c r="R174" s="27"/>
      <c r="S174" s="33"/>
      <c r="T174" s="33"/>
      <c r="U174" s="27"/>
      <c r="V174" s="27">
        <v>0</v>
      </c>
      <c r="W174" s="27">
        <v>0</v>
      </c>
      <c r="X174" s="27"/>
    </row>
    <row r="175" spans="1:24" ht="20.25" thickTop="1" thickBot="1" x14ac:dyDescent="0.3">
      <c r="A175" s="27">
        <v>13</v>
      </c>
      <c r="B175" s="27">
        <v>1</v>
      </c>
      <c r="C175" s="4">
        <f t="shared" si="18"/>
        <v>54</v>
      </c>
      <c r="D175" s="4">
        <f t="shared" si="23"/>
        <v>25</v>
      </c>
      <c r="E175" s="27" t="str">
        <f t="shared" si="19"/>
        <v>13.1.54</v>
      </c>
      <c r="F175" s="27" t="str">
        <f>P118</f>
        <v>12.1.40.1</v>
      </c>
      <c r="G175" s="30"/>
      <c r="H175" s="30" t="s">
        <v>489</v>
      </c>
      <c r="I175" s="27" t="s">
        <v>594</v>
      </c>
      <c r="J175" s="33"/>
      <c r="K175" s="33"/>
      <c r="L175" s="33"/>
      <c r="M175" s="33"/>
      <c r="N175" s="33" t="s">
        <v>556</v>
      </c>
      <c r="O175" s="27">
        <v>0</v>
      </c>
      <c r="P175" s="32" t="str">
        <f t="shared" si="22"/>
        <v>13.1.54.0</v>
      </c>
      <c r="Q175" s="27"/>
      <c r="R175" s="27"/>
      <c r="S175" s="33"/>
      <c r="T175" s="33"/>
      <c r="U175" s="27"/>
      <c r="V175" s="27">
        <v>0</v>
      </c>
      <c r="W175" s="27">
        <v>0</v>
      </c>
      <c r="X175" s="27"/>
    </row>
    <row r="176" spans="1:24" ht="20.25" thickTop="1" thickBot="1" x14ac:dyDescent="0.3">
      <c r="A176" s="27">
        <v>13</v>
      </c>
      <c r="B176" s="27">
        <v>1</v>
      </c>
      <c r="C176" s="4">
        <f t="shared" si="18"/>
        <v>55</v>
      </c>
      <c r="D176" s="4">
        <f t="shared" si="23"/>
        <v>26</v>
      </c>
      <c r="E176" s="27" t="str">
        <f t="shared" si="19"/>
        <v>13.1.55</v>
      </c>
      <c r="F176" s="27" t="str">
        <f>P120</f>
        <v>12.1.42.1</v>
      </c>
      <c r="G176" s="30"/>
      <c r="H176" s="30" t="s">
        <v>355</v>
      </c>
      <c r="I176" s="27" t="s">
        <v>593</v>
      </c>
      <c r="J176" s="33" t="s">
        <v>372</v>
      </c>
      <c r="K176" s="33" t="s">
        <v>373</v>
      </c>
      <c r="L176" s="33" t="s">
        <v>374</v>
      </c>
      <c r="M176" s="33"/>
      <c r="N176" s="33" t="s">
        <v>552</v>
      </c>
      <c r="O176" s="27">
        <v>1</v>
      </c>
      <c r="P176" s="32" t="str">
        <f t="shared" si="22"/>
        <v>13.1.55.1</v>
      </c>
      <c r="Q176" s="27" t="s">
        <v>65</v>
      </c>
      <c r="R176" s="27"/>
      <c r="S176" s="33" t="s">
        <v>233</v>
      </c>
      <c r="T176" s="33"/>
      <c r="U176" s="27"/>
      <c r="V176" s="27">
        <v>2</v>
      </c>
      <c r="W176" s="27">
        <v>2</v>
      </c>
      <c r="X176" s="27"/>
    </row>
    <row r="177" spans="1:24" ht="20.25" thickTop="1" thickBot="1" x14ac:dyDescent="0.3">
      <c r="A177" s="27">
        <v>13</v>
      </c>
      <c r="B177" s="27">
        <v>1</v>
      </c>
      <c r="C177" s="4">
        <f t="shared" si="18"/>
        <v>56</v>
      </c>
      <c r="D177" s="4">
        <f t="shared" si="23"/>
        <v>27</v>
      </c>
      <c r="E177" s="27" t="str">
        <f t="shared" si="19"/>
        <v>13.1.56</v>
      </c>
      <c r="F177" s="27" t="str">
        <f>P120</f>
        <v>12.1.42.1</v>
      </c>
      <c r="G177" s="30"/>
      <c r="H177" s="30" t="s">
        <v>356</v>
      </c>
      <c r="I177" s="27" t="s">
        <v>593</v>
      </c>
      <c r="J177" s="33" t="s">
        <v>306</v>
      </c>
      <c r="K177" s="33" t="s">
        <v>375</v>
      </c>
      <c r="L177" s="33" t="s">
        <v>376</v>
      </c>
      <c r="M177" s="33"/>
      <c r="N177" s="33" t="s">
        <v>556</v>
      </c>
      <c r="O177" s="27">
        <v>0</v>
      </c>
      <c r="P177" s="32" t="str">
        <f t="shared" si="22"/>
        <v>13.1.56.0</v>
      </c>
      <c r="Q177" s="27"/>
      <c r="R177" s="27"/>
      <c r="S177" s="33"/>
      <c r="T177" s="33"/>
      <c r="U177" s="27"/>
      <c r="V177" s="27">
        <v>0</v>
      </c>
      <c r="W177" s="27">
        <v>0</v>
      </c>
      <c r="X177" s="27"/>
    </row>
    <row r="178" spans="1:24" ht="20.25" thickTop="1" thickBot="1" x14ac:dyDescent="0.3">
      <c r="A178" s="27">
        <v>13</v>
      </c>
      <c r="B178" s="27">
        <v>1</v>
      </c>
      <c r="C178" s="4">
        <f t="shared" si="18"/>
        <v>57</v>
      </c>
      <c r="D178" s="4">
        <f t="shared" si="23"/>
        <v>28</v>
      </c>
      <c r="E178" s="27" t="str">
        <f t="shared" si="19"/>
        <v>13.1.57</v>
      </c>
      <c r="F178" s="27" t="str">
        <f>P120</f>
        <v>12.1.42.1</v>
      </c>
      <c r="G178" s="30"/>
      <c r="H178" s="30" t="s">
        <v>357</v>
      </c>
      <c r="I178" s="27" t="s">
        <v>593</v>
      </c>
      <c r="J178" s="33" t="s">
        <v>366</v>
      </c>
      <c r="K178" s="33"/>
      <c r="L178" s="33"/>
      <c r="M178" s="33"/>
      <c r="N178" s="33" t="s">
        <v>552</v>
      </c>
      <c r="O178" s="27">
        <v>1</v>
      </c>
      <c r="P178" s="32" t="str">
        <f t="shared" si="22"/>
        <v>13.1.57.1</v>
      </c>
      <c r="Q178" s="27" t="s">
        <v>377</v>
      </c>
      <c r="R178" s="27"/>
      <c r="S178" s="33" t="s">
        <v>378</v>
      </c>
      <c r="T178" s="33"/>
      <c r="U178" s="27"/>
      <c r="V178" s="27">
        <v>1</v>
      </c>
      <c r="W178" s="27">
        <v>3</v>
      </c>
      <c r="X178" s="27"/>
    </row>
    <row r="179" spans="1:24" ht="20.25" thickTop="1" thickBot="1" x14ac:dyDescent="0.3">
      <c r="A179" s="27">
        <v>13</v>
      </c>
      <c r="B179" s="27">
        <v>1</v>
      </c>
      <c r="C179" s="4">
        <f t="shared" si="18"/>
        <v>58</v>
      </c>
      <c r="D179" s="4">
        <f>IF(I179="Nữ",IF((A179&lt;&gt;A178),0,D178),IF(A179&lt;&gt;A178,1,IF(ISBLANK(B179),D178,D178+1)))</f>
        <v>29</v>
      </c>
      <c r="E179" s="27" t="str">
        <f t="shared" si="19"/>
        <v>13.1.58</v>
      </c>
      <c r="F179" s="27" t="str">
        <f>P120</f>
        <v>12.1.42.1</v>
      </c>
      <c r="G179" s="30" t="s">
        <v>588</v>
      </c>
      <c r="H179" s="30" t="s">
        <v>380</v>
      </c>
      <c r="I179" s="27" t="s">
        <v>593</v>
      </c>
      <c r="J179" s="33" t="s">
        <v>378</v>
      </c>
      <c r="K179" s="33"/>
      <c r="L179" s="33"/>
      <c r="M179" s="33"/>
      <c r="N179" s="33" t="s">
        <v>552</v>
      </c>
      <c r="O179" s="27">
        <v>1</v>
      </c>
      <c r="P179" s="32" t="str">
        <f t="shared" si="22"/>
        <v>13.1.58.1</v>
      </c>
      <c r="Q179" s="27" t="s">
        <v>379</v>
      </c>
      <c r="R179" s="27"/>
      <c r="S179" s="33" t="s">
        <v>382</v>
      </c>
      <c r="T179" s="33"/>
      <c r="U179" s="27"/>
      <c r="V179" s="27">
        <v>2</v>
      </c>
      <c r="W179" s="27">
        <v>0</v>
      </c>
      <c r="X179" s="27"/>
    </row>
    <row r="180" spans="1:24" ht="20.25" thickTop="1" thickBot="1" x14ac:dyDescent="0.3">
      <c r="A180" s="27">
        <v>13</v>
      </c>
      <c r="B180" s="27">
        <v>1</v>
      </c>
      <c r="C180" s="4">
        <f t="shared" si="18"/>
        <v>59</v>
      </c>
      <c r="D180" s="4">
        <f t="shared" si="23"/>
        <v>30</v>
      </c>
      <c r="E180" s="27" t="str">
        <f t="shared" si="19"/>
        <v>13.1.59</v>
      </c>
      <c r="F180" s="27" t="str">
        <f>P120</f>
        <v>12.1.42.1</v>
      </c>
      <c r="G180" s="30" t="s">
        <v>589</v>
      </c>
      <c r="H180" s="30" t="s">
        <v>381</v>
      </c>
      <c r="I180" s="27" t="s">
        <v>593</v>
      </c>
      <c r="J180" s="33" t="s">
        <v>106</v>
      </c>
      <c r="K180" s="33"/>
      <c r="L180" s="33"/>
      <c r="M180" s="33"/>
      <c r="N180" s="33" t="s">
        <v>552</v>
      </c>
      <c r="O180" s="27">
        <v>1</v>
      </c>
      <c r="P180" s="32" t="str">
        <f t="shared" si="22"/>
        <v>13.1.59.1</v>
      </c>
      <c r="Q180" s="27" t="s">
        <v>383</v>
      </c>
      <c r="R180" s="27"/>
      <c r="S180" s="33" t="s">
        <v>384</v>
      </c>
      <c r="T180" s="33"/>
      <c r="U180" s="27"/>
      <c r="V180" s="27">
        <v>1</v>
      </c>
      <c r="W180" s="27">
        <v>2</v>
      </c>
      <c r="X180" s="27"/>
    </row>
    <row r="181" spans="1:24" ht="20.25" thickTop="1" thickBot="1" x14ac:dyDescent="0.3">
      <c r="A181" s="27">
        <v>13</v>
      </c>
      <c r="B181" s="27">
        <v>1</v>
      </c>
      <c r="C181" s="4">
        <f t="shared" si="18"/>
        <v>60</v>
      </c>
      <c r="D181" s="4">
        <f t="shared" si="23"/>
        <v>30</v>
      </c>
      <c r="E181" s="27" t="str">
        <f t="shared" si="19"/>
        <v>13.1.60</v>
      </c>
      <c r="F181" s="27" t="str">
        <f>P120</f>
        <v>12.1.42.1</v>
      </c>
      <c r="G181" s="30"/>
      <c r="H181" s="30" t="s">
        <v>476</v>
      </c>
      <c r="I181" s="27" t="s">
        <v>594</v>
      </c>
      <c r="J181" s="33"/>
      <c r="K181" s="33"/>
      <c r="L181" s="33"/>
      <c r="M181" s="33"/>
      <c r="N181" s="33" t="s">
        <v>556</v>
      </c>
      <c r="O181" s="27">
        <v>0</v>
      </c>
      <c r="P181" s="32" t="str">
        <f t="shared" si="22"/>
        <v>13.1.60.0</v>
      </c>
      <c r="Q181" s="27"/>
      <c r="R181" s="27"/>
      <c r="S181" s="33"/>
      <c r="T181" s="33"/>
      <c r="U181" s="27"/>
      <c r="V181" s="27">
        <v>0</v>
      </c>
      <c r="W181" s="27">
        <v>0</v>
      </c>
      <c r="X181" s="27"/>
    </row>
    <row r="182" spans="1:24" ht="20.25" thickTop="1" thickBot="1" x14ac:dyDescent="0.3">
      <c r="A182" s="27">
        <v>13</v>
      </c>
      <c r="B182" s="27">
        <v>1</v>
      </c>
      <c r="C182" s="4">
        <f t="shared" si="18"/>
        <v>61</v>
      </c>
      <c r="D182" s="4">
        <f t="shared" si="23"/>
        <v>30</v>
      </c>
      <c r="E182" s="27" t="str">
        <f t="shared" si="19"/>
        <v>13.1.61</v>
      </c>
      <c r="F182" s="27" t="str">
        <f>P120</f>
        <v>12.1.42.1</v>
      </c>
      <c r="G182" s="30"/>
      <c r="H182" s="30" t="s">
        <v>490</v>
      </c>
      <c r="I182" s="27" t="s">
        <v>594</v>
      </c>
      <c r="J182" s="33"/>
      <c r="K182" s="33"/>
      <c r="L182" s="33"/>
      <c r="M182" s="33"/>
      <c r="N182" s="33" t="s">
        <v>556</v>
      </c>
      <c r="O182" s="27">
        <v>0</v>
      </c>
      <c r="P182" s="32" t="str">
        <f t="shared" si="22"/>
        <v>13.1.61.0</v>
      </c>
      <c r="Q182" s="27"/>
      <c r="R182" s="27"/>
      <c r="S182" s="33"/>
      <c r="T182" s="33"/>
      <c r="U182" s="27"/>
      <c r="V182" s="27">
        <v>0</v>
      </c>
      <c r="W182" s="27">
        <v>0</v>
      </c>
      <c r="X182" s="27"/>
    </row>
    <row r="183" spans="1:24" ht="20.25" thickTop="1" thickBot="1" x14ac:dyDescent="0.3">
      <c r="A183" s="27">
        <v>13</v>
      </c>
      <c r="B183" s="27">
        <v>1</v>
      </c>
      <c r="C183" s="4">
        <f t="shared" si="18"/>
        <v>62</v>
      </c>
      <c r="D183" s="4">
        <f>IF(I183="Nữ",IF((A183&lt;&gt;A182),0,D182),IF(A183&lt;&gt;A182,1,IF(ISBLANK(B183),D182,D182+1)))</f>
        <v>30</v>
      </c>
      <c r="E183" s="27" t="str">
        <f t="shared" si="19"/>
        <v>13.1.62</v>
      </c>
      <c r="F183" s="27" t="str">
        <f>P120</f>
        <v>12.1.42.1</v>
      </c>
      <c r="G183" s="30"/>
      <c r="H183" s="30" t="s">
        <v>491</v>
      </c>
      <c r="I183" s="27" t="s">
        <v>594</v>
      </c>
      <c r="J183" s="33"/>
      <c r="K183" s="33"/>
      <c r="L183" s="33"/>
      <c r="M183" s="33"/>
      <c r="N183" s="33" t="s">
        <v>556</v>
      </c>
      <c r="O183" s="27">
        <v>0</v>
      </c>
      <c r="P183" s="32" t="str">
        <f t="shared" si="22"/>
        <v>13.1.62.0</v>
      </c>
      <c r="Q183" s="27"/>
      <c r="R183" s="27"/>
      <c r="S183" s="33"/>
      <c r="T183" s="33"/>
      <c r="U183" s="27"/>
      <c r="V183" s="27">
        <v>0</v>
      </c>
      <c r="W183" s="27">
        <v>0</v>
      </c>
      <c r="X183" s="27"/>
    </row>
    <row r="184" spans="1:24" ht="20.25" thickTop="1" thickBot="1" x14ac:dyDescent="0.3">
      <c r="A184" s="28">
        <v>14</v>
      </c>
      <c r="B184" s="28">
        <v>1</v>
      </c>
      <c r="C184" s="4">
        <f t="shared" si="18"/>
        <v>1</v>
      </c>
      <c r="D184" s="4">
        <f>IF(I184="Nữ",IF((A184&lt;&gt;A183),0,D183),IF(A184&lt;&gt;A183,1,IF(ISBLANK(B184),D183,D183+1)))</f>
        <v>1</v>
      </c>
      <c r="E184" s="28" t="str">
        <f t="shared" si="19"/>
        <v>14.1.1</v>
      </c>
      <c r="F184" s="28" t="str">
        <f>P125</f>
        <v>13.1.5.1</v>
      </c>
      <c r="G184" s="29" t="s">
        <v>590</v>
      </c>
      <c r="H184" s="29" t="s">
        <v>385</v>
      </c>
      <c r="I184" s="27" t="s">
        <v>593</v>
      </c>
      <c r="J184" s="22" t="s">
        <v>388</v>
      </c>
      <c r="K184" s="31"/>
      <c r="L184" s="31"/>
      <c r="M184" s="31"/>
      <c r="N184" s="31" t="s">
        <v>552</v>
      </c>
      <c r="O184" s="28">
        <v>1</v>
      </c>
      <c r="P184" s="34" t="str">
        <f t="shared" si="22"/>
        <v>14.1.1.1</v>
      </c>
      <c r="Q184" s="28" t="s">
        <v>386</v>
      </c>
      <c r="R184" s="28"/>
      <c r="S184" s="22" t="s">
        <v>387</v>
      </c>
      <c r="T184" s="31"/>
      <c r="U184" s="28"/>
      <c r="V184" s="28">
        <v>0</v>
      </c>
      <c r="W184" s="28">
        <v>0</v>
      </c>
      <c r="X184" s="28"/>
    </row>
    <row r="185" spans="1:24" ht="20.25" thickTop="1" thickBot="1" x14ac:dyDescent="0.3">
      <c r="A185" s="28">
        <v>14</v>
      </c>
      <c r="B185" s="28">
        <v>1</v>
      </c>
      <c r="C185" s="4">
        <f t="shared" si="18"/>
        <v>2</v>
      </c>
      <c r="D185" s="4">
        <f t="shared" ref="D185:D224" si="24">IF(I185="Nữ",IF((A185&lt;&gt;A184),0,D184),IF(A185&lt;&gt;A184,1,IF(ISBLANK(B185),D184,D184+1)))</f>
        <v>2</v>
      </c>
      <c r="E185" s="28" t="str">
        <f t="shared" si="19"/>
        <v>14.1.2</v>
      </c>
      <c r="F185" s="28" t="str">
        <f>P125</f>
        <v>13.1.5.1</v>
      </c>
      <c r="G185" s="29"/>
      <c r="H185" s="29" t="s">
        <v>389</v>
      </c>
      <c r="I185" s="27" t="s">
        <v>593</v>
      </c>
      <c r="J185" s="22" t="s">
        <v>390</v>
      </c>
      <c r="K185" s="31"/>
      <c r="L185" s="31"/>
      <c r="M185" s="31"/>
      <c r="N185" s="31" t="s">
        <v>556</v>
      </c>
      <c r="O185" s="28" t="s">
        <v>321</v>
      </c>
      <c r="P185" s="34" t="str">
        <f t="shared" si="22"/>
        <v>14.1.2.?</v>
      </c>
      <c r="Q185" s="28"/>
      <c r="R185" s="28"/>
      <c r="S185" s="22"/>
      <c r="T185" s="31"/>
      <c r="U185" s="28"/>
      <c r="V185" s="28">
        <v>0</v>
      </c>
      <c r="W185" s="28">
        <v>0</v>
      </c>
      <c r="X185" s="28"/>
    </row>
    <row r="186" spans="1:24" ht="20.25" thickTop="1" thickBot="1" x14ac:dyDescent="0.3">
      <c r="A186" s="28">
        <v>14</v>
      </c>
      <c r="B186" s="28">
        <v>1</v>
      </c>
      <c r="C186" s="4">
        <f t="shared" si="18"/>
        <v>3</v>
      </c>
      <c r="D186" s="4">
        <f t="shared" si="24"/>
        <v>3</v>
      </c>
      <c r="E186" s="28" t="str">
        <f t="shared" si="19"/>
        <v>14.1.3</v>
      </c>
      <c r="F186" s="28" t="str">
        <f>P126</f>
        <v>13.1.6.1</v>
      </c>
      <c r="G186" s="29"/>
      <c r="H186" s="29" t="s">
        <v>391</v>
      </c>
      <c r="I186" s="27" t="s">
        <v>593</v>
      </c>
      <c r="J186" s="22" t="s">
        <v>392</v>
      </c>
      <c r="K186" s="31"/>
      <c r="L186" s="31"/>
      <c r="M186" s="31"/>
      <c r="N186" s="31" t="s">
        <v>556</v>
      </c>
      <c r="O186" s="28" t="s">
        <v>321</v>
      </c>
      <c r="P186" s="34" t="str">
        <f t="shared" si="22"/>
        <v>14.1.3.?</v>
      </c>
      <c r="Q186" s="28"/>
      <c r="R186" s="28"/>
      <c r="S186" s="22"/>
      <c r="T186" s="31"/>
      <c r="U186" s="28"/>
      <c r="V186" s="28">
        <v>0</v>
      </c>
      <c r="W186" s="28">
        <v>0</v>
      </c>
      <c r="X186" s="28"/>
    </row>
    <row r="187" spans="1:24" ht="20.25" thickTop="1" thickBot="1" x14ac:dyDescent="0.3">
      <c r="A187" s="28">
        <v>14</v>
      </c>
      <c r="B187" s="28">
        <v>1</v>
      </c>
      <c r="C187" s="4">
        <f t="shared" si="18"/>
        <v>4</v>
      </c>
      <c r="D187" s="4">
        <f t="shared" si="24"/>
        <v>4</v>
      </c>
      <c r="E187" s="28" t="str">
        <f t="shared" si="19"/>
        <v>14.1.4</v>
      </c>
      <c r="F187" s="28" t="str">
        <f>P127</f>
        <v>13.1.7.1</v>
      </c>
      <c r="G187" s="29"/>
      <c r="H187" s="29" t="s">
        <v>393</v>
      </c>
      <c r="I187" s="27" t="s">
        <v>593</v>
      </c>
      <c r="J187" s="22" t="s">
        <v>457</v>
      </c>
      <c r="K187" s="31"/>
      <c r="L187" s="31"/>
      <c r="M187" s="31"/>
      <c r="N187" s="31" t="s">
        <v>552</v>
      </c>
      <c r="O187" s="28">
        <v>1</v>
      </c>
      <c r="P187" s="34" t="str">
        <f t="shared" si="22"/>
        <v>14.1.4.1</v>
      </c>
      <c r="Q187" s="28" t="s">
        <v>456</v>
      </c>
      <c r="R187" s="28"/>
      <c r="S187" s="22" t="s">
        <v>458</v>
      </c>
      <c r="T187" s="31"/>
      <c r="U187" s="28"/>
      <c r="V187" s="28">
        <v>0</v>
      </c>
      <c r="W187" s="28">
        <v>2</v>
      </c>
      <c r="X187" s="28"/>
    </row>
    <row r="188" spans="1:24" ht="20.25" thickTop="1" thickBot="1" x14ac:dyDescent="0.3">
      <c r="A188" s="28">
        <v>14</v>
      </c>
      <c r="B188" s="28">
        <v>1</v>
      </c>
      <c r="C188" s="4">
        <f t="shared" si="18"/>
        <v>5</v>
      </c>
      <c r="D188" s="4">
        <f t="shared" si="24"/>
        <v>5</v>
      </c>
      <c r="E188" s="28" t="str">
        <f t="shared" si="19"/>
        <v>14.1.5</v>
      </c>
      <c r="F188" s="28" t="str">
        <f>P127</f>
        <v>13.1.7.1</v>
      </c>
      <c r="G188" s="29"/>
      <c r="H188" s="29" t="s">
        <v>394</v>
      </c>
      <c r="I188" s="27" t="s">
        <v>593</v>
      </c>
      <c r="J188" s="22" t="s">
        <v>459</v>
      </c>
      <c r="K188" s="31"/>
      <c r="L188" s="31"/>
      <c r="M188" s="31"/>
      <c r="N188" s="31" t="s">
        <v>552</v>
      </c>
      <c r="O188" s="28">
        <v>1</v>
      </c>
      <c r="P188" s="34" t="str">
        <f t="shared" si="22"/>
        <v>14.1.5.1</v>
      </c>
      <c r="Q188" s="28" t="s">
        <v>460</v>
      </c>
      <c r="R188" s="28"/>
      <c r="S188" s="22" t="s">
        <v>461</v>
      </c>
      <c r="T188" s="31"/>
      <c r="U188" s="28"/>
      <c r="V188" s="28">
        <v>1</v>
      </c>
      <c r="W188" s="28">
        <v>1</v>
      </c>
      <c r="X188" s="28"/>
    </row>
    <row r="189" spans="1:24" ht="20.25" thickTop="1" thickBot="1" x14ac:dyDescent="0.3">
      <c r="A189" s="28">
        <v>14</v>
      </c>
      <c r="B189" s="28">
        <v>1</v>
      </c>
      <c r="C189" s="4">
        <f t="shared" si="18"/>
        <v>6</v>
      </c>
      <c r="D189" s="4">
        <f t="shared" si="24"/>
        <v>6</v>
      </c>
      <c r="E189" s="28" t="str">
        <f t="shared" si="19"/>
        <v>14.1.6</v>
      </c>
      <c r="F189" s="28" t="str">
        <f>P128</f>
        <v>13.1.8.1</v>
      </c>
      <c r="G189" s="29" t="s">
        <v>591</v>
      </c>
      <c r="H189" s="29" t="s">
        <v>395</v>
      </c>
      <c r="I189" s="27" t="s">
        <v>593</v>
      </c>
      <c r="J189" s="22" t="s">
        <v>452</v>
      </c>
      <c r="K189" s="31"/>
      <c r="L189" s="31"/>
      <c r="M189" s="31"/>
      <c r="N189" s="31" t="s">
        <v>552</v>
      </c>
      <c r="O189" s="28">
        <v>1</v>
      </c>
      <c r="P189" s="34" t="str">
        <f t="shared" si="22"/>
        <v>14.1.6.1</v>
      </c>
      <c r="Q189" s="28" t="s">
        <v>453</v>
      </c>
      <c r="R189" s="28"/>
      <c r="S189" s="22" t="s">
        <v>454</v>
      </c>
      <c r="T189" s="31"/>
      <c r="U189" s="28"/>
      <c r="V189" s="28">
        <v>0</v>
      </c>
      <c r="W189" s="28">
        <v>2</v>
      </c>
      <c r="X189" s="28"/>
    </row>
    <row r="190" spans="1:24" ht="20.25" thickTop="1" thickBot="1" x14ac:dyDescent="0.3">
      <c r="A190" s="28">
        <v>14</v>
      </c>
      <c r="B190" s="28">
        <v>1</v>
      </c>
      <c r="C190" s="4">
        <f t="shared" si="18"/>
        <v>7</v>
      </c>
      <c r="D190" s="4">
        <f t="shared" si="24"/>
        <v>7</v>
      </c>
      <c r="E190" s="28" t="str">
        <f t="shared" si="19"/>
        <v>14.1.7</v>
      </c>
      <c r="F190" s="28" t="str">
        <f>P128</f>
        <v>13.1.8.1</v>
      </c>
      <c r="G190" s="29"/>
      <c r="H190" s="29" t="s">
        <v>396</v>
      </c>
      <c r="I190" s="27" t="s">
        <v>593</v>
      </c>
      <c r="J190" s="22" t="s">
        <v>455</v>
      </c>
      <c r="K190" s="31"/>
      <c r="L190" s="31"/>
      <c r="M190" s="31"/>
      <c r="N190" s="31" t="s">
        <v>556</v>
      </c>
      <c r="O190" s="28"/>
      <c r="P190" s="34" t="str">
        <f>E190&amp;"."&amp;O190</f>
        <v>14.1.7.</v>
      </c>
      <c r="Q190" s="28"/>
      <c r="R190" s="28"/>
      <c r="S190" s="31"/>
      <c r="T190" s="31"/>
      <c r="U190" s="28"/>
      <c r="V190" s="28">
        <v>0</v>
      </c>
      <c r="W190" s="28">
        <v>0</v>
      </c>
      <c r="X190" s="28"/>
    </row>
    <row r="191" spans="1:24" ht="20.25" thickTop="1" thickBot="1" x14ac:dyDescent="0.3">
      <c r="A191" s="28">
        <v>14</v>
      </c>
      <c r="B191" s="28">
        <v>1</v>
      </c>
      <c r="C191" s="4">
        <f t="shared" si="18"/>
        <v>8</v>
      </c>
      <c r="D191" s="4">
        <f>IF(I191="Nữ",IF((A191&lt;&gt;A190),0,D190),IF(A191&lt;&gt;A190,1,IF(ISBLANK(B191),D190,D190+1)))</f>
        <v>7</v>
      </c>
      <c r="E191" s="28" t="str">
        <f t="shared" si="19"/>
        <v>14.1.8</v>
      </c>
      <c r="F191" s="28" t="str">
        <f>P136</f>
        <v>13.1.16.1</v>
      </c>
      <c r="G191" s="29"/>
      <c r="H191" s="29" t="s">
        <v>397</v>
      </c>
      <c r="I191" s="27" t="s">
        <v>594</v>
      </c>
      <c r="J191" s="22" t="s">
        <v>400</v>
      </c>
      <c r="K191" s="31"/>
      <c r="L191" s="31"/>
      <c r="M191" s="31"/>
      <c r="N191" s="31" t="s">
        <v>556</v>
      </c>
      <c r="O191" s="28"/>
      <c r="P191" s="34" t="str">
        <f t="shared" si="22"/>
        <v>14.1.8.</v>
      </c>
      <c r="Q191" s="28"/>
      <c r="R191" s="28"/>
      <c r="S191" s="31"/>
      <c r="T191" s="31"/>
      <c r="U191" s="28"/>
      <c r="V191" s="28">
        <v>0</v>
      </c>
      <c r="W191" s="28">
        <v>0</v>
      </c>
      <c r="X191" s="28"/>
    </row>
    <row r="192" spans="1:24" ht="20.25" thickTop="1" thickBot="1" x14ac:dyDescent="0.3">
      <c r="A192" s="28">
        <v>14</v>
      </c>
      <c r="B192" s="28">
        <v>1</v>
      </c>
      <c r="C192" s="4">
        <f t="shared" si="18"/>
        <v>9</v>
      </c>
      <c r="D192" s="4">
        <f t="shared" si="24"/>
        <v>8</v>
      </c>
      <c r="E192" s="28" t="str">
        <f t="shared" si="19"/>
        <v>14.1.9</v>
      </c>
      <c r="F192" s="28" t="str">
        <f>P137</f>
        <v>13.1.16.2</v>
      </c>
      <c r="G192" s="29"/>
      <c r="H192" s="29" t="s">
        <v>398</v>
      </c>
      <c r="I192" s="27" t="s">
        <v>593</v>
      </c>
      <c r="J192" s="22" t="s">
        <v>401</v>
      </c>
      <c r="K192" s="31"/>
      <c r="L192" s="31"/>
      <c r="M192" s="31"/>
      <c r="N192" s="31" t="s">
        <v>556</v>
      </c>
      <c r="O192" s="28"/>
      <c r="P192" s="34" t="str">
        <f t="shared" si="22"/>
        <v>14.1.9.</v>
      </c>
      <c r="Q192" s="28"/>
      <c r="R192" s="28"/>
      <c r="S192" s="31"/>
      <c r="T192" s="31"/>
      <c r="U192" s="28"/>
      <c r="V192" s="28">
        <v>0</v>
      </c>
      <c r="W192" s="28">
        <v>0</v>
      </c>
      <c r="X192" s="28"/>
    </row>
    <row r="193" spans="1:24" ht="20.25" thickTop="1" thickBot="1" x14ac:dyDescent="0.3">
      <c r="A193" s="28">
        <v>14</v>
      </c>
      <c r="B193" s="28">
        <v>1</v>
      </c>
      <c r="C193" s="4">
        <f t="shared" si="18"/>
        <v>10</v>
      </c>
      <c r="D193" s="4">
        <f t="shared" si="24"/>
        <v>8</v>
      </c>
      <c r="E193" s="28" t="str">
        <f t="shared" si="19"/>
        <v>14.1.10</v>
      </c>
      <c r="F193" s="28" t="str">
        <f>P137</f>
        <v>13.1.16.2</v>
      </c>
      <c r="G193" s="29"/>
      <c r="H193" s="29" t="s">
        <v>399</v>
      </c>
      <c r="I193" s="27" t="s">
        <v>594</v>
      </c>
      <c r="J193" s="22" t="s">
        <v>402</v>
      </c>
      <c r="K193" s="31"/>
      <c r="L193" s="31"/>
      <c r="M193" s="31"/>
      <c r="N193" s="31" t="s">
        <v>556</v>
      </c>
      <c r="O193" s="28"/>
      <c r="P193" s="34" t="str">
        <f t="shared" si="22"/>
        <v>14.1.10.</v>
      </c>
      <c r="Q193" s="28"/>
      <c r="R193" s="28"/>
      <c r="S193" s="31"/>
      <c r="T193" s="31"/>
      <c r="U193" s="28"/>
      <c r="V193" s="28">
        <v>0</v>
      </c>
      <c r="W193" s="28">
        <v>0</v>
      </c>
      <c r="X193" s="28"/>
    </row>
    <row r="194" spans="1:24" ht="20.25" thickTop="1" thickBot="1" x14ac:dyDescent="0.3">
      <c r="A194" s="28">
        <v>14</v>
      </c>
      <c r="B194" s="28">
        <v>1</v>
      </c>
      <c r="C194" s="4">
        <f t="shared" si="18"/>
        <v>11</v>
      </c>
      <c r="D194" s="4">
        <f t="shared" si="24"/>
        <v>8</v>
      </c>
      <c r="E194" s="28" t="str">
        <f t="shared" si="19"/>
        <v>14.1.11</v>
      </c>
      <c r="F194" s="28" t="str">
        <f>P138</f>
        <v>13.1.17.1</v>
      </c>
      <c r="G194" s="29"/>
      <c r="H194" s="29" t="s">
        <v>403</v>
      </c>
      <c r="I194" s="27" t="s">
        <v>594</v>
      </c>
      <c r="J194" s="22" t="s">
        <v>407</v>
      </c>
      <c r="K194" s="31"/>
      <c r="L194" s="31"/>
      <c r="M194" s="31"/>
      <c r="N194" s="31" t="s">
        <v>556</v>
      </c>
      <c r="O194" s="28"/>
      <c r="P194" s="34" t="str">
        <f t="shared" si="22"/>
        <v>14.1.11.</v>
      </c>
      <c r="Q194" s="28"/>
      <c r="R194" s="28"/>
      <c r="S194" s="31"/>
      <c r="T194" s="31"/>
      <c r="U194" s="28"/>
      <c r="V194" s="28">
        <v>0</v>
      </c>
      <c r="W194" s="28">
        <v>0</v>
      </c>
      <c r="X194" s="28"/>
    </row>
    <row r="195" spans="1:24" ht="20.25" thickTop="1" thickBot="1" x14ac:dyDescent="0.3">
      <c r="A195" s="28">
        <v>14</v>
      </c>
      <c r="B195" s="28">
        <v>1</v>
      </c>
      <c r="C195" s="4">
        <f t="shared" si="18"/>
        <v>12</v>
      </c>
      <c r="D195" s="4">
        <f t="shared" si="24"/>
        <v>8</v>
      </c>
      <c r="E195" s="28" t="str">
        <f t="shared" si="19"/>
        <v>14.1.12</v>
      </c>
      <c r="F195" s="28" t="str">
        <f>P138</f>
        <v>13.1.17.1</v>
      </c>
      <c r="G195" s="29"/>
      <c r="H195" s="29" t="s">
        <v>404</v>
      </c>
      <c r="I195" s="27" t="s">
        <v>594</v>
      </c>
      <c r="J195" s="22" t="s">
        <v>408</v>
      </c>
      <c r="K195" s="31"/>
      <c r="L195" s="31"/>
      <c r="M195" s="31"/>
      <c r="N195" s="31" t="s">
        <v>556</v>
      </c>
      <c r="O195" s="28"/>
      <c r="P195" s="34" t="str">
        <f t="shared" si="22"/>
        <v>14.1.12.</v>
      </c>
      <c r="Q195" s="28"/>
      <c r="R195" s="28"/>
      <c r="S195" s="31"/>
      <c r="T195" s="31"/>
      <c r="U195" s="28"/>
      <c r="V195" s="28">
        <v>0</v>
      </c>
      <c r="W195" s="28">
        <v>0</v>
      </c>
      <c r="X195" s="28"/>
    </row>
    <row r="196" spans="1:24" ht="20.25" thickTop="1" thickBot="1" x14ac:dyDescent="0.3">
      <c r="A196" s="28">
        <v>14</v>
      </c>
      <c r="B196" s="28">
        <v>1</v>
      </c>
      <c r="C196" s="4">
        <f t="shared" si="18"/>
        <v>13</v>
      </c>
      <c r="D196" s="4">
        <f t="shared" si="24"/>
        <v>8</v>
      </c>
      <c r="E196" s="28" t="str">
        <f t="shared" si="19"/>
        <v>14.1.13</v>
      </c>
      <c r="F196" s="28" t="str">
        <f>P138</f>
        <v>13.1.17.1</v>
      </c>
      <c r="G196" s="29"/>
      <c r="H196" s="29" t="s">
        <v>405</v>
      </c>
      <c r="I196" s="27" t="s">
        <v>594</v>
      </c>
      <c r="J196" s="22" t="s">
        <v>409</v>
      </c>
      <c r="K196" s="31"/>
      <c r="L196" s="31"/>
      <c r="M196" s="31"/>
      <c r="N196" s="31" t="s">
        <v>556</v>
      </c>
      <c r="O196" s="28"/>
      <c r="P196" s="34" t="str">
        <f t="shared" si="22"/>
        <v>14.1.13.</v>
      </c>
      <c r="Q196" s="28"/>
      <c r="R196" s="28"/>
      <c r="S196" s="31"/>
      <c r="T196" s="31"/>
      <c r="U196" s="28"/>
      <c r="V196" s="28">
        <v>0</v>
      </c>
      <c r="W196" s="28">
        <v>0</v>
      </c>
      <c r="X196" s="28"/>
    </row>
    <row r="197" spans="1:24" ht="20.25" thickTop="1" thickBot="1" x14ac:dyDescent="0.3">
      <c r="A197" s="28">
        <v>14</v>
      </c>
      <c r="B197" s="28">
        <v>1</v>
      </c>
      <c r="C197" s="4">
        <f t="shared" ref="C197:C239" si="25">IF(A197&lt;&gt;A196,1,IF(ISBLANK(B197),C196,C196+1))</f>
        <v>14</v>
      </c>
      <c r="D197" s="4">
        <f t="shared" si="24"/>
        <v>9</v>
      </c>
      <c r="E197" s="28" t="str">
        <f t="shared" ref="E197:E239" si="26">A197&amp;"."&amp;B197&amp;"."&amp;C197</f>
        <v>14.1.14</v>
      </c>
      <c r="F197" s="28" t="str">
        <f>P138</f>
        <v>13.1.17.1</v>
      </c>
      <c r="G197" s="29"/>
      <c r="H197" s="29" t="s">
        <v>406</v>
      </c>
      <c r="I197" s="27" t="s">
        <v>593</v>
      </c>
      <c r="J197" s="22" t="s">
        <v>410</v>
      </c>
      <c r="K197" s="31"/>
      <c r="L197" s="31"/>
      <c r="M197" s="31"/>
      <c r="N197" s="31" t="s">
        <v>556</v>
      </c>
      <c r="O197" s="28"/>
      <c r="P197" s="34" t="str">
        <f t="shared" si="22"/>
        <v>14.1.14.</v>
      </c>
      <c r="Q197" s="28"/>
      <c r="R197" s="28"/>
      <c r="S197" s="31"/>
      <c r="T197" s="31"/>
      <c r="U197" s="28"/>
      <c r="V197" s="28">
        <v>0</v>
      </c>
      <c r="W197" s="28">
        <v>0</v>
      </c>
      <c r="X197" s="28"/>
    </row>
    <row r="198" spans="1:24" ht="20.25" thickTop="1" thickBot="1" x14ac:dyDescent="0.3">
      <c r="A198" s="28">
        <v>14</v>
      </c>
      <c r="B198" s="28">
        <v>1</v>
      </c>
      <c r="C198" s="4">
        <f t="shared" si="25"/>
        <v>15</v>
      </c>
      <c r="D198" s="4">
        <f>IF(I198="Nữ",IF((A198&lt;&gt;A197),0,D197),IF(A198&lt;&gt;A197,1,IF(ISBLANK(B198),D197,D197+1)))</f>
        <v>9</v>
      </c>
      <c r="E198" s="28" t="str">
        <f t="shared" si="26"/>
        <v>14.1.15</v>
      </c>
      <c r="F198" s="28" t="str">
        <f>P143</f>
        <v>13.1.22.1</v>
      </c>
      <c r="G198" s="29"/>
      <c r="H198" s="29" t="s">
        <v>411</v>
      </c>
      <c r="I198" s="27" t="s">
        <v>594</v>
      </c>
      <c r="J198" s="22" t="s">
        <v>414</v>
      </c>
      <c r="K198" s="31"/>
      <c r="L198" s="31"/>
      <c r="M198" s="31"/>
      <c r="N198" s="31" t="s">
        <v>556</v>
      </c>
      <c r="O198" s="28"/>
      <c r="P198" s="34" t="str">
        <f t="shared" si="22"/>
        <v>14.1.15.</v>
      </c>
      <c r="Q198" s="28"/>
      <c r="R198" s="28"/>
      <c r="S198" s="31"/>
      <c r="T198" s="31"/>
      <c r="U198" s="28"/>
      <c r="V198" s="28">
        <v>0</v>
      </c>
      <c r="W198" s="28">
        <v>0</v>
      </c>
      <c r="X198" s="28"/>
    </row>
    <row r="199" spans="1:24" ht="20.25" thickTop="1" thickBot="1" x14ac:dyDescent="0.3">
      <c r="A199" s="28">
        <v>14</v>
      </c>
      <c r="B199" s="28">
        <v>1</v>
      </c>
      <c r="C199" s="4">
        <f t="shared" si="25"/>
        <v>16</v>
      </c>
      <c r="D199" s="4">
        <f t="shared" si="24"/>
        <v>9</v>
      </c>
      <c r="E199" s="28" t="str">
        <f t="shared" si="26"/>
        <v>14.1.16</v>
      </c>
      <c r="F199" s="28" t="str">
        <f>P143</f>
        <v>13.1.22.1</v>
      </c>
      <c r="G199" s="29"/>
      <c r="H199" s="29" t="s">
        <v>412</v>
      </c>
      <c r="I199" s="27" t="s">
        <v>594</v>
      </c>
      <c r="J199" s="22" t="s">
        <v>415</v>
      </c>
      <c r="K199" s="31"/>
      <c r="L199" s="31"/>
      <c r="M199" s="31"/>
      <c r="N199" s="31" t="s">
        <v>556</v>
      </c>
      <c r="O199" s="28"/>
      <c r="P199" s="34" t="str">
        <f t="shared" si="22"/>
        <v>14.1.16.</v>
      </c>
      <c r="Q199" s="28"/>
      <c r="R199" s="28"/>
      <c r="S199" s="31"/>
      <c r="T199" s="31"/>
      <c r="U199" s="28"/>
      <c r="V199" s="28">
        <v>0</v>
      </c>
      <c r="W199" s="28">
        <v>0</v>
      </c>
      <c r="X199" s="28"/>
    </row>
    <row r="200" spans="1:24" ht="20.25" thickTop="1" thickBot="1" x14ac:dyDescent="0.3">
      <c r="A200" s="28">
        <v>14</v>
      </c>
      <c r="B200" s="28">
        <v>1</v>
      </c>
      <c r="C200" s="4">
        <f t="shared" si="25"/>
        <v>17</v>
      </c>
      <c r="D200" s="4">
        <f>IF(I200="Nữ",IF((A200&lt;&gt;A199),0,D199),IF(A200&lt;&gt;A199,1,IF(ISBLANK(B200),D199,D199+1)))</f>
        <v>10</v>
      </c>
      <c r="E200" s="28" t="str">
        <f t="shared" si="26"/>
        <v>14.1.17</v>
      </c>
      <c r="F200" s="28" t="str">
        <f>P143</f>
        <v>13.1.22.1</v>
      </c>
      <c r="G200" s="29"/>
      <c r="H200" s="29" t="s">
        <v>413</v>
      </c>
      <c r="I200" s="27" t="s">
        <v>593</v>
      </c>
      <c r="J200" s="22" t="s">
        <v>416</v>
      </c>
      <c r="K200" s="31"/>
      <c r="L200" s="31"/>
      <c r="M200" s="31"/>
      <c r="N200" s="31" t="s">
        <v>556</v>
      </c>
      <c r="O200" s="28"/>
      <c r="P200" s="34" t="str">
        <f t="shared" si="22"/>
        <v>14.1.17.</v>
      </c>
      <c r="Q200" s="28"/>
      <c r="R200" s="28"/>
      <c r="S200" s="31"/>
      <c r="T200" s="31"/>
      <c r="U200" s="28"/>
      <c r="V200" s="28">
        <v>0</v>
      </c>
      <c r="W200" s="28">
        <v>0</v>
      </c>
      <c r="X200" s="28"/>
    </row>
    <row r="201" spans="1:24" ht="20.25" thickTop="1" thickBot="1" x14ac:dyDescent="0.3">
      <c r="A201" s="28">
        <v>14</v>
      </c>
      <c r="B201" s="28">
        <v>1</v>
      </c>
      <c r="C201" s="4">
        <f t="shared" si="25"/>
        <v>18</v>
      </c>
      <c r="D201" s="4">
        <f t="shared" si="24"/>
        <v>11</v>
      </c>
      <c r="E201" s="28" t="str">
        <f t="shared" si="26"/>
        <v>14.1.18</v>
      </c>
      <c r="F201" s="28" t="str">
        <f>P144</f>
        <v>13.1.23.1</v>
      </c>
      <c r="G201" s="29"/>
      <c r="H201" s="29" t="s">
        <v>417</v>
      </c>
      <c r="I201" s="27" t="s">
        <v>593</v>
      </c>
      <c r="J201" s="31"/>
      <c r="K201" s="31"/>
      <c r="L201" s="31"/>
      <c r="M201" s="31"/>
      <c r="N201" s="31" t="s">
        <v>556</v>
      </c>
      <c r="O201" s="28"/>
      <c r="P201" s="34" t="str">
        <f t="shared" si="22"/>
        <v>14.1.18.</v>
      </c>
      <c r="Q201" s="28"/>
      <c r="R201" s="28"/>
      <c r="S201" s="31"/>
      <c r="T201" s="31"/>
      <c r="U201" s="28"/>
      <c r="V201" s="28">
        <v>0</v>
      </c>
      <c r="W201" s="28">
        <v>0</v>
      </c>
      <c r="X201" s="28"/>
    </row>
    <row r="202" spans="1:24" ht="20.25" thickTop="1" thickBot="1" x14ac:dyDescent="0.3">
      <c r="A202" s="28">
        <v>14</v>
      </c>
      <c r="B202" s="28">
        <v>1</v>
      </c>
      <c r="C202" s="4">
        <f t="shared" si="25"/>
        <v>19</v>
      </c>
      <c r="D202" s="4">
        <f t="shared" si="24"/>
        <v>12</v>
      </c>
      <c r="E202" s="28" t="str">
        <f t="shared" si="26"/>
        <v>14.1.19</v>
      </c>
      <c r="F202" s="28" t="str">
        <f>P144</f>
        <v>13.1.23.1</v>
      </c>
      <c r="G202" s="29"/>
      <c r="H202" s="29" t="s">
        <v>418</v>
      </c>
      <c r="I202" s="27" t="s">
        <v>593</v>
      </c>
      <c r="J202" s="31"/>
      <c r="K202" s="31"/>
      <c r="L202" s="31"/>
      <c r="M202" s="31"/>
      <c r="N202" s="31" t="s">
        <v>556</v>
      </c>
      <c r="O202" s="28"/>
      <c r="P202" s="34" t="str">
        <f t="shared" ref="P202:P233" si="27">E202&amp;"."&amp;O202</f>
        <v>14.1.19.</v>
      </c>
      <c r="Q202" s="28"/>
      <c r="R202" s="28"/>
      <c r="S202" s="31"/>
      <c r="T202" s="31"/>
      <c r="U202" s="28"/>
      <c r="V202" s="28">
        <v>0</v>
      </c>
      <c r="W202" s="28">
        <v>0</v>
      </c>
      <c r="X202" s="28"/>
    </row>
    <row r="203" spans="1:24" ht="20.25" thickTop="1" thickBot="1" x14ac:dyDescent="0.3">
      <c r="A203" s="28">
        <v>14</v>
      </c>
      <c r="B203" s="28">
        <v>1</v>
      </c>
      <c r="C203" s="4">
        <f t="shared" si="25"/>
        <v>20</v>
      </c>
      <c r="D203" s="4">
        <f t="shared" si="24"/>
        <v>13</v>
      </c>
      <c r="E203" s="28" t="str">
        <f t="shared" si="26"/>
        <v>14.1.20</v>
      </c>
      <c r="F203" s="28" t="str">
        <f>P148</f>
        <v>13.1.27.1</v>
      </c>
      <c r="G203" s="29"/>
      <c r="H203" s="29" t="s">
        <v>419</v>
      </c>
      <c r="I203" s="27" t="s">
        <v>593</v>
      </c>
      <c r="J203" s="31"/>
      <c r="K203" s="31"/>
      <c r="L203" s="31"/>
      <c r="M203" s="31"/>
      <c r="N203" s="31" t="s">
        <v>556</v>
      </c>
      <c r="O203" s="28"/>
      <c r="P203" s="34" t="str">
        <f t="shared" si="27"/>
        <v>14.1.20.</v>
      </c>
      <c r="Q203" s="28"/>
      <c r="R203" s="28"/>
      <c r="S203" s="31"/>
      <c r="T203" s="31"/>
      <c r="U203" s="28"/>
      <c r="V203" s="28">
        <v>0</v>
      </c>
      <c r="W203" s="28">
        <v>0</v>
      </c>
      <c r="X203" s="28"/>
    </row>
    <row r="204" spans="1:24" ht="20.25" thickTop="1" thickBot="1" x14ac:dyDescent="0.3">
      <c r="A204" s="28">
        <v>14</v>
      </c>
      <c r="B204" s="28">
        <v>1</v>
      </c>
      <c r="C204" s="4">
        <f t="shared" si="25"/>
        <v>21</v>
      </c>
      <c r="D204" s="4">
        <f t="shared" si="24"/>
        <v>14</v>
      </c>
      <c r="E204" s="28" t="str">
        <f t="shared" si="26"/>
        <v>14.1.21</v>
      </c>
      <c r="F204" s="28" t="str">
        <f>P148</f>
        <v>13.1.27.1</v>
      </c>
      <c r="G204" s="29"/>
      <c r="H204" s="29" t="s">
        <v>420</v>
      </c>
      <c r="I204" s="27" t="s">
        <v>593</v>
      </c>
      <c r="J204" s="31"/>
      <c r="K204" s="31"/>
      <c r="L204" s="31"/>
      <c r="M204" s="31"/>
      <c r="N204" s="31" t="s">
        <v>556</v>
      </c>
      <c r="O204" s="28"/>
      <c r="P204" s="34" t="str">
        <f t="shared" si="27"/>
        <v>14.1.21.</v>
      </c>
      <c r="Q204" s="28"/>
      <c r="R204" s="28"/>
      <c r="S204" s="31"/>
      <c r="T204" s="31"/>
      <c r="U204" s="28"/>
      <c r="V204" s="28">
        <v>0</v>
      </c>
      <c r="W204" s="28">
        <v>0</v>
      </c>
      <c r="X204" s="28"/>
    </row>
    <row r="205" spans="1:24" ht="20.25" thickTop="1" thickBot="1" x14ac:dyDescent="0.3">
      <c r="A205" s="28">
        <v>14</v>
      </c>
      <c r="B205" s="28">
        <v>1</v>
      </c>
      <c r="C205" s="4">
        <f t="shared" si="25"/>
        <v>22</v>
      </c>
      <c r="D205" s="4">
        <f t="shared" si="24"/>
        <v>14</v>
      </c>
      <c r="E205" s="28" t="str">
        <f t="shared" si="26"/>
        <v>14.1.22</v>
      </c>
      <c r="F205" s="28" t="str">
        <f>P148</f>
        <v>13.1.27.1</v>
      </c>
      <c r="G205" s="29"/>
      <c r="H205" s="29" t="s">
        <v>421</v>
      </c>
      <c r="I205" s="27" t="s">
        <v>594</v>
      </c>
      <c r="J205" s="31"/>
      <c r="K205" s="31"/>
      <c r="L205" s="31"/>
      <c r="M205" s="31"/>
      <c r="N205" s="31" t="s">
        <v>556</v>
      </c>
      <c r="O205" s="28"/>
      <c r="P205" s="34" t="str">
        <f t="shared" si="27"/>
        <v>14.1.22.</v>
      </c>
      <c r="Q205" s="28"/>
      <c r="R205" s="28"/>
      <c r="S205" s="31"/>
      <c r="T205" s="31"/>
      <c r="U205" s="28"/>
      <c r="V205" s="28">
        <v>0</v>
      </c>
      <c r="W205" s="28">
        <v>0</v>
      </c>
      <c r="X205" s="28"/>
    </row>
    <row r="206" spans="1:24" ht="20.25" thickTop="1" thickBot="1" x14ac:dyDescent="0.3">
      <c r="A206" s="28">
        <v>14</v>
      </c>
      <c r="B206" s="28">
        <v>1</v>
      </c>
      <c r="C206" s="4">
        <f t="shared" si="25"/>
        <v>23</v>
      </c>
      <c r="D206" s="4">
        <f t="shared" si="24"/>
        <v>15</v>
      </c>
      <c r="E206" s="28" t="str">
        <f t="shared" si="26"/>
        <v>14.1.23</v>
      </c>
      <c r="F206" s="28" t="str">
        <f>P150</f>
        <v>13.1.29.1</v>
      </c>
      <c r="G206" s="29"/>
      <c r="H206" s="29" t="s">
        <v>349</v>
      </c>
      <c r="I206" s="27" t="s">
        <v>593</v>
      </c>
      <c r="J206" s="31"/>
      <c r="K206" s="31"/>
      <c r="L206" s="31"/>
      <c r="M206" s="31"/>
      <c r="N206" s="31" t="s">
        <v>556</v>
      </c>
      <c r="O206" s="28"/>
      <c r="P206" s="34" t="str">
        <f t="shared" si="27"/>
        <v>14.1.23.</v>
      </c>
      <c r="Q206" s="28"/>
      <c r="R206" s="28"/>
      <c r="S206" s="31"/>
      <c r="T206" s="31"/>
      <c r="U206" s="28"/>
      <c r="V206" s="28">
        <v>0</v>
      </c>
      <c r="W206" s="28">
        <v>0</v>
      </c>
      <c r="X206" s="28"/>
    </row>
    <row r="207" spans="1:24" ht="20.25" thickTop="1" thickBot="1" x14ac:dyDescent="0.3">
      <c r="A207" s="28">
        <v>14</v>
      </c>
      <c r="B207" s="28">
        <v>1</v>
      </c>
      <c r="C207" s="4">
        <f t="shared" si="25"/>
        <v>24</v>
      </c>
      <c r="D207" s="4">
        <f>IF(I207="Nữ",IF((A207&lt;&gt;A206),0,D206),IF(A207&lt;&gt;A206,1,IF(ISBLANK(B207),D206,D206+1)))</f>
        <v>15</v>
      </c>
      <c r="E207" s="28" t="str">
        <f t="shared" si="26"/>
        <v>14.1.24</v>
      </c>
      <c r="F207" s="28" t="str">
        <f>P150</f>
        <v>13.1.29.1</v>
      </c>
      <c r="G207" s="29"/>
      <c r="H207" s="29" t="s">
        <v>422</v>
      </c>
      <c r="I207" s="27" t="s">
        <v>594</v>
      </c>
      <c r="J207" s="31"/>
      <c r="K207" s="31"/>
      <c r="L207" s="31"/>
      <c r="M207" s="31"/>
      <c r="N207" s="31" t="s">
        <v>556</v>
      </c>
      <c r="O207" s="28"/>
      <c r="P207" s="34" t="str">
        <f t="shared" si="27"/>
        <v>14.1.24.</v>
      </c>
      <c r="Q207" s="28"/>
      <c r="R207" s="28"/>
      <c r="S207" s="31"/>
      <c r="T207" s="31"/>
      <c r="U207" s="28"/>
      <c r="V207" s="28">
        <v>0</v>
      </c>
      <c r="W207" s="28">
        <v>0</v>
      </c>
      <c r="X207" s="28"/>
    </row>
    <row r="208" spans="1:24" ht="20.25" thickTop="1" thickBot="1" x14ac:dyDescent="0.3">
      <c r="A208" s="28">
        <v>14</v>
      </c>
      <c r="B208" s="28">
        <v>1</v>
      </c>
      <c r="C208" s="4">
        <f t="shared" si="25"/>
        <v>25</v>
      </c>
      <c r="D208" s="4">
        <f t="shared" si="24"/>
        <v>16</v>
      </c>
      <c r="E208" s="28" t="str">
        <f t="shared" si="26"/>
        <v>14.1.25</v>
      </c>
      <c r="F208" s="28" t="str">
        <f>P150</f>
        <v>13.1.29.1</v>
      </c>
      <c r="G208" s="29"/>
      <c r="H208" s="29" t="s">
        <v>423</v>
      </c>
      <c r="I208" s="27" t="s">
        <v>593</v>
      </c>
      <c r="J208" s="31"/>
      <c r="K208" s="31"/>
      <c r="L208" s="31"/>
      <c r="M208" s="31"/>
      <c r="N208" s="31" t="s">
        <v>556</v>
      </c>
      <c r="O208" s="28"/>
      <c r="P208" s="34" t="str">
        <f t="shared" si="27"/>
        <v>14.1.25.</v>
      </c>
      <c r="Q208" s="28"/>
      <c r="R208" s="28"/>
      <c r="S208" s="31"/>
      <c r="T208" s="31"/>
      <c r="U208" s="28"/>
      <c r="V208" s="28">
        <v>0</v>
      </c>
      <c r="W208" s="28">
        <v>0</v>
      </c>
      <c r="X208" s="28"/>
    </row>
    <row r="209" spans="1:24" ht="20.25" thickTop="1" thickBot="1" x14ac:dyDescent="0.3">
      <c r="A209" s="28">
        <v>14</v>
      </c>
      <c r="B209" s="28">
        <v>1</v>
      </c>
      <c r="C209" s="4">
        <f t="shared" si="25"/>
        <v>26</v>
      </c>
      <c r="D209" s="4">
        <f>IF(I209="Nữ",IF((A209&lt;&gt;A208),0,D208),IF(A209&lt;&gt;A208,1,IF(ISBLANK(B209),D208,D208+1)))</f>
        <v>16</v>
      </c>
      <c r="E209" s="28" t="str">
        <f t="shared" si="26"/>
        <v>14.1.26</v>
      </c>
      <c r="F209" s="28" t="str">
        <f>P151</f>
        <v>13.1.30.1</v>
      </c>
      <c r="G209" s="29"/>
      <c r="H209" s="29" t="s">
        <v>424</v>
      </c>
      <c r="I209" s="27" t="s">
        <v>594</v>
      </c>
      <c r="J209" s="31"/>
      <c r="K209" s="31"/>
      <c r="L209" s="31"/>
      <c r="M209" s="31"/>
      <c r="N209" s="31" t="s">
        <v>556</v>
      </c>
      <c r="O209" s="28"/>
      <c r="P209" s="34" t="str">
        <f t="shared" si="27"/>
        <v>14.1.26.</v>
      </c>
      <c r="Q209" s="28"/>
      <c r="R209" s="28"/>
      <c r="S209" s="31"/>
      <c r="T209" s="31"/>
      <c r="U209" s="28"/>
      <c r="V209" s="28">
        <v>0</v>
      </c>
      <c r="W209" s="28">
        <v>0</v>
      </c>
      <c r="X209" s="28"/>
    </row>
    <row r="210" spans="1:24" ht="20.25" thickTop="1" thickBot="1" x14ac:dyDescent="0.3">
      <c r="A210" s="28">
        <v>14</v>
      </c>
      <c r="B210" s="28">
        <v>1</v>
      </c>
      <c r="C210" s="4">
        <f t="shared" si="25"/>
        <v>27</v>
      </c>
      <c r="D210" s="4">
        <f t="shared" si="24"/>
        <v>16</v>
      </c>
      <c r="E210" s="28" t="str">
        <f t="shared" si="26"/>
        <v>14.1.27</v>
      </c>
      <c r="F210" s="28" t="str">
        <f>P151</f>
        <v>13.1.30.1</v>
      </c>
      <c r="G210" s="29"/>
      <c r="H210" s="29" t="s">
        <v>425</v>
      </c>
      <c r="I210" s="27" t="s">
        <v>594</v>
      </c>
      <c r="J210" s="31"/>
      <c r="K210" s="31"/>
      <c r="L210" s="31"/>
      <c r="M210" s="31"/>
      <c r="N210" s="31" t="s">
        <v>556</v>
      </c>
      <c r="O210" s="28"/>
      <c r="P210" s="34" t="str">
        <f t="shared" si="27"/>
        <v>14.1.27.</v>
      </c>
      <c r="Q210" s="28"/>
      <c r="R210" s="28"/>
      <c r="S210" s="31"/>
      <c r="T210" s="31"/>
      <c r="U210" s="28"/>
      <c r="V210" s="28">
        <v>0</v>
      </c>
      <c r="W210" s="28">
        <v>0</v>
      </c>
      <c r="X210" s="28"/>
    </row>
    <row r="211" spans="1:24" ht="20.25" thickTop="1" thickBot="1" x14ac:dyDescent="0.3">
      <c r="A211" s="28">
        <v>14</v>
      </c>
      <c r="B211" s="28">
        <v>1</v>
      </c>
      <c r="C211" s="4">
        <f t="shared" si="25"/>
        <v>28</v>
      </c>
      <c r="D211" s="4">
        <f t="shared" si="24"/>
        <v>17</v>
      </c>
      <c r="E211" s="28" t="str">
        <f t="shared" si="26"/>
        <v>14.1.28</v>
      </c>
      <c r="F211" s="28" t="str">
        <f>P155</f>
        <v>13.1.34.1</v>
      </c>
      <c r="G211" s="29"/>
      <c r="H211" s="29" t="s">
        <v>426</v>
      </c>
      <c r="I211" s="27" t="s">
        <v>593</v>
      </c>
      <c r="J211" s="31"/>
      <c r="K211" s="31"/>
      <c r="L211" s="31"/>
      <c r="M211" s="31"/>
      <c r="N211" s="31" t="s">
        <v>556</v>
      </c>
      <c r="O211" s="28"/>
      <c r="P211" s="34" t="str">
        <f t="shared" si="27"/>
        <v>14.1.28.</v>
      </c>
      <c r="Q211" s="28"/>
      <c r="R211" s="28"/>
      <c r="S211" s="31"/>
      <c r="T211" s="31"/>
      <c r="U211" s="28"/>
      <c r="V211" s="28">
        <v>0</v>
      </c>
      <c r="W211" s="28">
        <v>0</v>
      </c>
      <c r="X211" s="28"/>
    </row>
    <row r="212" spans="1:24" ht="20.25" thickTop="1" thickBot="1" x14ac:dyDescent="0.3">
      <c r="A212" s="28">
        <v>14</v>
      </c>
      <c r="B212" s="28">
        <v>1</v>
      </c>
      <c r="C212" s="4">
        <f t="shared" si="25"/>
        <v>29</v>
      </c>
      <c r="D212" s="4">
        <f t="shared" si="24"/>
        <v>17</v>
      </c>
      <c r="E212" s="28" t="str">
        <f t="shared" si="26"/>
        <v>14.1.29</v>
      </c>
      <c r="F212" s="28" t="str">
        <f>P155</f>
        <v>13.1.34.1</v>
      </c>
      <c r="G212" s="29"/>
      <c r="H212" s="29" t="s">
        <v>427</v>
      </c>
      <c r="I212" s="27" t="s">
        <v>594</v>
      </c>
      <c r="J212" s="31"/>
      <c r="K212" s="31"/>
      <c r="L212" s="31"/>
      <c r="M212" s="31"/>
      <c r="N212" s="31" t="s">
        <v>556</v>
      </c>
      <c r="O212" s="28"/>
      <c r="P212" s="34" t="str">
        <f t="shared" si="27"/>
        <v>14.1.29.</v>
      </c>
      <c r="Q212" s="28"/>
      <c r="R212" s="28"/>
      <c r="S212" s="31"/>
      <c r="T212" s="31"/>
      <c r="U212" s="28"/>
      <c r="V212" s="28">
        <v>0</v>
      </c>
      <c r="W212" s="28">
        <v>0</v>
      </c>
      <c r="X212" s="28"/>
    </row>
    <row r="213" spans="1:24" ht="20.25" thickTop="1" thickBot="1" x14ac:dyDescent="0.3">
      <c r="A213" s="28">
        <v>14</v>
      </c>
      <c r="B213" s="28">
        <v>1</v>
      </c>
      <c r="C213" s="4">
        <f t="shared" si="25"/>
        <v>30</v>
      </c>
      <c r="D213" s="4">
        <f t="shared" si="24"/>
        <v>17</v>
      </c>
      <c r="E213" s="28" t="str">
        <f t="shared" si="26"/>
        <v>14.1.30</v>
      </c>
      <c r="F213" s="28" t="str">
        <f>P155</f>
        <v>13.1.34.1</v>
      </c>
      <c r="G213" s="29"/>
      <c r="H213" s="29" t="s">
        <v>428</v>
      </c>
      <c r="I213" s="27" t="s">
        <v>594</v>
      </c>
      <c r="J213" s="31"/>
      <c r="K213" s="31"/>
      <c r="L213" s="31"/>
      <c r="M213" s="31"/>
      <c r="N213" s="31" t="s">
        <v>556</v>
      </c>
      <c r="O213" s="28"/>
      <c r="P213" s="34" t="str">
        <f t="shared" si="27"/>
        <v>14.1.30.</v>
      </c>
      <c r="Q213" s="28"/>
      <c r="R213" s="28"/>
      <c r="S213" s="31"/>
      <c r="T213" s="31"/>
      <c r="U213" s="28"/>
      <c r="V213" s="28">
        <v>0</v>
      </c>
      <c r="W213" s="28">
        <v>0</v>
      </c>
      <c r="X213" s="28"/>
    </row>
    <row r="214" spans="1:24" ht="20.25" thickTop="1" thickBot="1" x14ac:dyDescent="0.3">
      <c r="A214" s="28">
        <v>14</v>
      </c>
      <c r="B214" s="28">
        <v>1</v>
      </c>
      <c r="C214" s="4">
        <f t="shared" si="25"/>
        <v>31</v>
      </c>
      <c r="D214" s="4">
        <f t="shared" si="24"/>
        <v>18</v>
      </c>
      <c r="E214" s="28" t="str">
        <f t="shared" si="26"/>
        <v>14.1.31</v>
      </c>
      <c r="F214" s="28" t="str">
        <f>P155</f>
        <v>13.1.34.1</v>
      </c>
      <c r="G214" s="29"/>
      <c r="H214" s="29" t="s">
        <v>429</v>
      </c>
      <c r="I214" s="27" t="s">
        <v>593</v>
      </c>
      <c r="J214" s="31"/>
      <c r="K214" s="31"/>
      <c r="L214" s="31"/>
      <c r="M214" s="31"/>
      <c r="N214" s="31" t="s">
        <v>556</v>
      </c>
      <c r="O214" s="28"/>
      <c r="P214" s="34" t="str">
        <f t="shared" si="27"/>
        <v>14.1.31.</v>
      </c>
      <c r="Q214" s="28"/>
      <c r="R214" s="28"/>
      <c r="S214" s="31"/>
      <c r="T214" s="31"/>
      <c r="U214" s="28"/>
      <c r="V214" s="28">
        <v>0</v>
      </c>
      <c r="W214" s="28">
        <v>0</v>
      </c>
      <c r="X214" s="28"/>
    </row>
    <row r="215" spans="1:24" ht="20.25" thickTop="1" thickBot="1" x14ac:dyDescent="0.3">
      <c r="A215" s="28">
        <v>14</v>
      </c>
      <c r="B215" s="28">
        <v>1</v>
      </c>
      <c r="C215" s="4">
        <f t="shared" si="25"/>
        <v>32</v>
      </c>
      <c r="D215" s="4">
        <f t="shared" si="24"/>
        <v>18</v>
      </c>
      <c r="E215" s="28" t="str">
        <f t="shared" si="26"/>
        <v>14.1.32</v>
      </c>
      <c r="F215" s="28" t="str">
        <f>P156</f>
        <v>13.1.35.1</v>
      </c>
      <c r="G215" s="29"/>
      <c r="H215" s="29" t="s">
        <v>430</v>
      </c>
      <c r="I215" s="27" t="s">
        <v>594</v>
      </c>
      <c r="J215" s="31"/>
      <c r="K215" s="31"/>
      <c r="L215" s="31"/>
      <c r="M215" s="31"/>
      <c r="N215" s="31" t="s">
        <v>556</v>
      </c>
      <c r="O215" s="28"/>
      <c r="P215" s="34" t="str">
        <f t="shared" si="27"/>
        <v>14.1.32.</v>
      </c>
      <c r="Q215" s="28"/>
      <c r="R215" s="28"/>
      <c r="S215" s="31"/>
      <c r="T215" s="31"/>
      <c r="U215" s="28"/>
      <c r="V215" s="28">
        <v>0</v>
      </c>
      <c r="W215" s="28">
        <v>0</v>
      </c>
      <c r="X215" s="28"/>
    </row>
    <row r="216" spans="1:24" ht="20.25" thickTop="1" thickBot="1" x14ac:dyDescent="0.3">
      <c r="A216" s="28">
        <v>14</v>
      </c>
      <c r="B216" s="28">
        <v>1</v>
      </c>
      <c r="C216" s="4">
        <f t="shared" si="25"/>
        <v>33</v>
      </c>
      <c r="D216" s="4">
        <f>IF(I216="Nữ",IF((A216&lt;&gt;A215),0,D215),IF(A216&lt;&gt;A215,1,IF(ISBLANK(B216),D215,D215+1)))</f>
        <v>19</v>
      </c>
      <c r="E216" s="28" t="str">
        <f t="shared" si="26"/>
        <v>14.1.33</v>
      </c>
      <c r="F216" s="28" t="str">
        <f>P156</f>
        <v>13.1.35.1</v>
      </c>
      <c r="G216" s="29"/>
      <c r="H216" s="29" t="s">
        <v>431</v>
      </c>
      <c r="I216" s="27" t="s">
        <v>593</v>
      </c>
      <c r="J216" s="31"/>
      <c r="K216" s="31"/>
      <c r="L216" s="31"/>
      <c r="M216" s="31"/>
      <c r="N216" s="31" t="s">
        <v>556</v>
      </c>
      <c r="O216" s="28"/>
      <c r="P216" s="34" t="str">
        <f t="shared" si="27"/>
        <v>14.1.33.</v>
      </c>
      <c r="Q216" s="28"/>
      <c r="R216" s="28"/>
      <c r="S216" s="31"/>
      <c r="T216" s="31"/>
      <c r="U216" s="28"/>
      <c r="V216" s="28">
        <v>0</v>
      </c>
      <c r="W216" s="28">
        <v>0</v>
      </c>
      <c r="X216" s="28"/>
    </row>
    <row r="217" spans="1:24" ht="20.25" thickTop="1" thickBot="1" x14ac:dyDescent="0.3">
      <c r="A217" s="28">
        <v>14</v>
      </c>
      <c r="B217" s="28">
        <v>1</v>
      </c>
      <c r="C217" s="4">
        <f t="shared" si="25"/>
        <v>34</v>
      </c>
      <c r="D217" s="4">
        <f t="shared" si="24"/>
        <v>20</v>
      </c>
      <c r="E217" s="28" t="str">
        <f t="shared" si="26"/>
        <v>14.1.34</v>
      </c>
      <c r="F217" s="28" t="str">
        <f>P165</f>
        <v>13.1.44.1</v>
      </c>
      <c r="G217" s="29"/>
      <c r="H217" s="29" t="s">
        <v>432</v>
      </c>
      <c r="I217" s="27" t="s">
        <v>593</v>
      </c>
      <c r="J217" s="31"/>
      <c r="K217" s="31"/>
      <c r="L217" s="31"/>
      <c r="M217" s="31"/>
      <c r="N217" s="31" t="s">
        <v>556</v>
      </c>
      <c r="O217" s="28"/>
      <c r="P217" s="34" t="str">
        <f t="shared" si="27"/>
        <v>14.1.34.</v>
      </c>
      <c r="Q217" s="28"/>
      <c r="R217" s="28"/>
      <c r="S217" s="31"/>
      <c r="T217" s="31"/>
      <c r="U217" s="28"/>
      <c r="V217" s="28">
        <v>0</v>
      </c>
      <c r="W217" s="28">
        <v>0</v>
      </c>
      <c r="X217" s="28"/>
    </row>
    <row r="218" spans="1:24" ht="20.25" thickTop="1" thickBot="1" x14ac:dyDescent="0.3">
      <c r="A218" s="28">
        <v>14</v>
      </c>
      <c r="B218" s="28">
        <v>1</v>
      </c>
      <c r="C218" s="4">
        <f t="shared" si="25"/>
        <v>35</v>
      </c>
      <c r="D218" s="4">
        <f t="shared" si="24"/>
        <v>21</v>
      </c>
      <c r="E218" s="28" t="str">
        <f t="shared" si="26"/>
        <v>14.1.35</v>
      </c>
      <c r="F218" s="28" t="str">
        <f>P165</f>
        <v>13.1.44.1</v>
      </c>
      <c r="G218" s="29"/>
      <c r="H218" s="29" t="s">
        <v>433</v>
      </c>
      <c r="I218" s="27" t="s">
        <v>593</v>
      </c>
      <c r="J218" s="31"/>
      <c r="K218" s="31"/>
      <c r="L218" s="31"/>
      <c r="M218" s="31"/>
      <c r="N218" s="31" t="s">
        <v>556</v>
      </c>
      <c r="O218" s="28"/>
      <c r="P218" s="34" t="str">
        <f t="shared" si="27"/>
        <v>14.1.35.</v>
      </c>
      <c r="Q218" s="28"/>
      <c r="R218" s="28"/>
      <c r="S218" s="31"/>
      <c r="T218" s="31"/>
      <c r="U218" s="28"/>
      <c r="V218" s="28">
        <v>0</v>
      </c>
      <c r="W218" s="28">
        <v>0</v>
      </c>
      <c r="X218" s="28"/>
    </row>
    <row r="219" spans="1:24" ht="20.25" thickTop="1" thickBot="1" x14ac:dyDescent="0.3">
      <c r="A219" s="28">
        <v>14</v>
      </c>
      <c r="B219" s="28">
        <v>1</v>
      </c>
      <c r="C219" s="4">
        <f t="shared" si="25"/>
        <v>36</v>
      </c>
      <c r="D219" s="4">
        <f t="shared" si="24"/>
        <v>21</v>
      </c>
      <c r="E219" s="28" t="str">
        <f t="shared" si="26"/>
        <v>14.1.36</v>
      </c>
      <c r="F219" s="28" t="str">
        <f>P165</f>
        <v>13.1.44.1</v>
      </c>
      <c r="G219" s="29"/>
      <c r="H219" s="29" t="s">
        <v>434</v>
      </c>
      <c r="I219" s="27" t="s">
        <v>594</v>
      </c>
      <c r="J219" s="31"/>
      <c r="K219" s="31"/>
      <c r="L219" s="31"/>
      <c r="M219" s="31"/>
      <c r="N219" s="31" t="s">
        <v>556</v>
      </c>
      <c r="O219" s="28"/>
      <c r="P219" s="34" t="str">
        <f t="shared" si="27"/>
        <v>14.1.36.</v>
      </c>
      <c r="Q219" s="28"/>
      <c r="R219" s="28"/>
      <c r="S219" s="31"/>
      <c r="T219" s="31"/>
      <c r="U219" s="28"/>
      <c r="V219" s="28">
        <v>0</v>
      </c>
      <c r="W219" s="28">
        <v>0</v>
      </c>
      <c r="X219" s="28"/>
    </row>
    <row r="220" spans="1:24" ht="20.25" thickTop="1" thickBot="1" x14ac:dyDescent="0.3">
      <c r="A220" s="28">
        <v>14</v>
      </c>
      <c r="B220" s="28">
        <v>1</v>
      </c>
      <c r="C220" s="4">
        <f t="shared" si="25"/>
        <v>37</v>
      </c>
      <c r="D220" s="4">
        <f t="shared" si="24"/>
        <v>21</v>
      </c>
      <c r="E220" s="28" t="str">
        <f t="shared" si="26"/>
        <v>14.1.37</v>
      </c>
      <c r="F220" s="28" t="str">
        <f>P165</f>
        <v>13.1.44.1</v>
      </c>
      <c r="G220" s="29"/>
      <c r="H220" s="29" t="s">
        <v>435</v>
      </c>
      <c r="I220" s="27" t="s">
        <v>594</v>
      </c>
      <c r="J220" s="31"/>
      <c r="K220" s="31"/>
      <c r="L220" s="31"/>
      <c r="M220" s="31"/>
      <c r="N220" s="31" t="s">
        <v>556</v>
      </c>
      <c r="O220" s="28"/>
      <c r="P220" s="34" t="str">
        <f t="shared" si="27"/>
        <v>14.1.37.</v>
      </c>
      <c r="Q220" s="28"/>
      <c r="R220" s="28"/>
      <c r="S220" s="31"/>
      <c r="T220" s="31"/>
      <c r="U220" s="28"/>
      <c r="V220" s="28">
        <v>0</v>
      </c>
      <c r="W220" s="28">
        <v>0</v>
      </c>
      <c r="X220" s="28"/>
    </row>
    <row r="221" spans="1:24" ht="20.25" thickTop="1" thickBot="1" x14ac:dyDescent="0.3">
      <c r="A221" s="28">
        <v>14</v>
      </c>
      <c r="B221" s="28">
        <v>1</v>
      </c>
      <c r="C221" s="4">
        <f t="shared" si="25"/>
        <v>38</v>
      </c>
      <c r="D221" s="4">
        <f t="shared" si="24"/>
        <v>21</v>
      </c>
      <c r="E221" s="28" t="str">
        <f t="shared" si="26"/>
        <v>14.1.38</v>
      </c>
      <c r="F221" s="28" t="str">
        <f>P165</f>
        <v>13.1.44.1</v>
      </c>
      <c r="G221" s="29"/>
      <c r="H221" s="29" t="s">
        <v>436</v>
      </c>
      <c r="I221" s="27" t="s">
        <v>594</v>
      </c>
      <c r="J221" s="31"/>
      <c r="K221" s="31"/>
      <c r="L221" s="31"/>
      <c r="M221" s="31"/>
      <c r="N221" s="31" t="s">
        <v>556</v>
      </c>
      <c r="O221" s="28"/>
      <c r="P221" s="34" t="str">
        <f t="shared" si="27"/>
        <v>14.1.38.</v>
      </c>
      <c r="Q221" s="28"/>
      <c r="R221" s="28"/>
      <c r="S221" s="31"/>
      <c r="T221" s="31"/>
      <c r="U221" s="28"/>
      <c r="V221" s="28">
        <v>0</v>
      </c>
      <c r="W221" s="28">
        <v>0</v>
      </c>
      <c r="X221" s="28"/>
    </row>
    <row r="222" spans="1:24" ht="20.25" thickTop="1" thickBot="1" x14ac:dyDescent="0.3">
      <c r="A222" s="28">
        <v>14</v>
      </c>
      <c r="B222" s="28">
        <v>1</v>
      </c>
      <c r="C222" s="4">
        <f t="shared" si="25"/>
        <v>39</v>
      </c>
      <c r="D222" s="4">
        <f t="shared" si="24"/>
        <v>22</v>
      </c>
      <c r="E222" s="28" t="str">
        <f t="shared" si="26"/>
        <v>14.1.39</v>
      </c>
      <c r="F222" s="28" t="str">
        <f>P168</f>
        <v>13.1.47.1</v>
      </c>
      <c r="G222" s="29"/>
      <c r="H222" s="29" t="s">
        <v>449</v>
      </c>
      <c r="I222" s="27" t="s">
        <v>593</v>
      </c>
      <c r="J222" s="31"/>
      <c r="K222" s="31"/>
      <c r="L222" s="31"/>
      <c r="M222" s="31"/>
      <c r="N222" s="31" t="s">
        <v>556</v>
      </c>
      <c r="O222" s="28"/>
      <c r="P222" s="34" t="str">
        <f t="shared" si="27"/>
        <v>14.1.39.</v>
      </c>
      <c r="Q222" s="28"/>
      <c r="R222" s="28"/>
      <c r="S222" s="31"/>
      <c r="T222" s="31"/>
      <c r="U222" s="28"/>
      <c r="V222" s="28">
        <v>0</v>
      </c>
      <c r="W222" s="28">
        <v>0</v>
      </c>
      <c r="X222" s="28"/>
    </row>
    <row r="223" spans="1:24" ht="20.25" thickTop="1" thickBot="1" x14ac:dyDescent="0.3">
      <c r="A223" s="28">
        <v>14</v>
      </c>
      <c r="B223" s="28">
        <v>1</v>
      </c>
      <c r="C223" s="4">
        <f t="shared" si="25"/>
        <v>40</v>
      </c>
      <c r="D223" s="4">
        <f>IF(I223="Nữ",IF((A223&lt;&gt;A222),0,D222),IF(A223&lt;&gt;A222,1,IF(ISBLANK(B223),D222,D222+1)))</f>
        <v>22</v>
      </c>
      <c r="E223" s="28" t="str">
        <f t="shared" si="26"/>
        <v>14.1.40</v>
      </c>
      <c r="F223" s="28" t="str">
        <f>P168</f>
        <v>13.1.47.1</v>
      </c>
      <c r="G223" s="29"/>
      <c r="H223" s="29" t="s">
        <v>437</v>
      </c>
      <c r="I223" s="27" t="s">
        <v>594</v>
      </c>
      <c r="J223" s="31"/>
      <c r="K223" s="31"/>
      <c r="L223" s="31"/>
      <c r="M223" s="31"/>
      <c r="N223" s="31" t="s">
        <v>556</v>
      </c>
      <c r="O223" s="28"/>
      <c r="P223" s="34" t="str">
        <f t="shared" si="27"/>
        <v>14.1.40.</v>
      </c>
      <c r="Q223" s="28"/>
      <c r="R223" s="28"/>
      <c r="S223" s="31"/>
      <c r="T223" s="31"/>
      <c r="U223" s="28"/>
      <c r="V223" s="28">
        <v>0</v>
      </c>
      <c r="W223" s="28">
        <v>0</v>
      </c>
      <c r="X223" s="28"/>
    </row>
    <row r="224" spans="1:24" ht="20.25" thickTop="1" thickBot="1" x14ac:dyDescent="0.3">
      <c r="A224" s="28">
        <v>14</v>
      </c>
      <c r="B224" s="28">
        <v>1</v>
      </c>
      <c r="C224" s="4">
        <f t="shared" si="25"/>
        <v>41</v>
      </c>
      <c r="D224" s="4">
        <f t="shared" si="24"/>
        <v>22</v>
      </c>
      <c r="E224" s="28" t="str">
        <f t="shared" si="26"/>
        <v>14.1.41</v>
      </c>
      <c r="F224" s="28" t="str">
        <f>P168</f>
        <v>13.1.47.1</v>
      </c>
      <c r="G224" s="29"/>
      <c r="H224" s="29" t="s">
        <v>438</v>
      </c>
      <c r="I224" s="27" t="s">
        <v>594</v>
      </c>
      <c r="J224" s="31"/>
      <c r="K224" s="31"/>
      <c r="L224" s="31"/>
      <c r="M224" s="31"/>
      <c r="N224" s="31" t="s">
        <v>556</v>
      </c>
      <c r="O224" s="28"/>
      <c r="P224" s="34" t="str">
        <f t="shared" si="27"/>
        <v>14.1.41.</v>
      </c>
      <c r="Q224" s="28"/>
      <c r="R224" s="28"/>
      <c r="S224" s="31"/>
      <c r="T224" s="31"/>
      <c r="U224" s="28"/>
      <c r="V224" s="28">
        <v>0</v>
      </c>
      <c r="W224" s="28">
        <v>0</v>
      </c>
      <c r="X224" s="28"/>
    </row>
    <row r="225" spans="1:24" ht="20.25" thickTop="1" thickBot="1" x14ac:dyDescent="0.3">
      <c r="A225" s="28">
        <v>14</v>
      </c>
      <c r="B225" s="28">
        <v>1</v>
      </c>
      <c r="C225" s="4">
        <f t="shared" si="25"/>
        <v>42</v>
      </c>
      <c r="D225" s="4">
        <f>IF(I225="Nữ",IF((A225&lt;&gt;A224),0,D224),IF(A225&lt;&gt;A224,1,IF(ISBLANK(B225),D224,D224+1)))</f>
        <v>23</v>
      </c>
      <c r="E225" s="28" t="str">
        <f t="shared" si="26"/>
        <v>14.1.42</v>
      </c>
      <c r="F225" s="28" t="str">
        <f>P169</f>
        <v>13.1.48.1</v>
      </c>
      <c r="G225" s="29"/>
      <c r="H225" s="29" t="s">
        <v>439</v>
      </c>
      <c r="I225" s="27" t="s">
        <v>593</v>
      </c>
      <c r="J225" s="31"/>
      <c r="K225" s="31"/>
      <c r="L225" s="31"/>
      <c r="M225" s="31"/>
      <c r="N225" s="31" t="s">
        <v>556</v>
      </c>
      <c r="O225" s="28"/>
      <c r="P225" s="34" t="str">
        <f t="shared" si="27"/>
        <v>14.1.42.</v>
      </c>
      <c r="Q225" s="28"/>
      <c r="R225" s="28"/>
      <c r="S225" s="31"/>
      <c r="T225" s="31"/>
      <c r="U225" s="28"/>
      <c r="V225" s="28">
        <v>0</v>
      </c>
      <c r="W225" s="28">
        <v>0</v>
      </c>
      <c r="X225" s="28"/>
    </row>
    <row r="226" spans="1:24" ht="20.25" thickTop="1" thickBot="1" x14ac:dyDescent="0.3">
      <c r="A226" s="28">
        <v>14</v>
      </c>
      <c r="B226" s="28">
        <v>1</v>
      </c>
      <c r="C226" s="4">
        <f t="shared" si="25"/>
        <v>43</v>
      </c>
      <c r="D226" s="4">
        <f>IF(I226="Nữ",IF((A226&lt;&gt;A225),0,D225),IF(A226&lt;&gt;A225,1,IF(ISBLANK(B226),D225,D225+1)))</f>
        <v>23</v>
      </c>
      <c r="E226" s="28" t="str">
        <f t="shared" si="26"/>
        <v>14.1.43</v>
      </c>
      <c r="F226" s="28" t="str">
        <f>P169</f>
        <v>13.1.48.1</v>
      </c>
      <c r="G226" s="29"/>
      <c r="H226" s="29" t="s">
        <v>440</v>
      </c>
      <c r="I226" s="27" t="s">
        <v>594</v>
      </c>
      <c r="J226" s="31"/>
      <c r="K226" s="31"/>
      <c r="L226" s="31"/>
      <c r="M226" s="31"/>
      <c r="N226" s="31" t="s">
        <v>556</v>
      </c>
      <c r="O226" s="28"/>
      <c r="P226" s="34" t="str">
        <f t="shared" si="27"/>
        <v>14.1.43.</v>
      </c>
      <c r="Q226" s="28"/>
      <c r="R226" s="28"/>
      <c r="S226" s="31"/>
      <c r="T226" s="31"/>
      <c r="U226" s="28"/>
      <c r="V226" s="28">
        <v>0</v>
      </c>
      <c r="W226" s="28">
        <v>0</v>
      </c>
      <c r="X226" s="28"/>
    </row>
    <row r="227" spans="1:24" ht="20.25" thickTop="1" thickBot="1" x14ac:dyDescent="0.3">
      <c r="A227" s="28">
        <v>14</v>
      </c>
      <c r="B227" s="28">
        <v>1</v>
      </c>
      <c r="C227" s="4">
        <f t="shared" si="25"/>
        <v>44</v>
      </c>
      <c r="D227" s="4">
        <f t="shared" ref="D227:D229" si="28">IF(I227="Nữ",IF((A227&lt;&gt;A226),0,D226),IF(A227&lt;&gt;A226,1,IF(ISBLANK(B227),D226,D226+1)))</f>
        <v>24</v>
      </c>
      <c r="E227" s="28" t="str">
        <f t="shared" si="26"/>
        <v>14.1.44</v>
      </c>
      <c r="F227" s="28" t="str">
        <f>P176</f>
        <v>13.1.55.1</v>
      </c>
      <c r="G227" s="29"/>
      <c r="H227" s="29" t="s">
        <v>441</v>
      </c>
      <c r="I227" s="27" t="s">
        <v>593</v>
      </c>
      <c r="J227" s="31"/>
      <c r="K227" s="31"/>
      <c r="L227" s="31"/>
      <c r="M227" s="31"/>
      <c r="N227" s="31" t="s">
        <v>556</v>
      </c>
      <c r="O227" s="28"/>
      <c r="P227" s="34" t="str">
        <f t="shared" si="27"/>
        <v>14.1.44.</v>
      </c>
      <c r="Q227" s="28"/>
      <c r="R227" s="28"/>
      <c r="S227" s="31"/>
      <c r="T227" s="31"/>
      <c r="U227" s="28"/>
      <c r="V227" s="28">
        <v>0</v>
      </c>
      <c r="W227" s="28">
        <v>0</v>
      </c>
      <c r="X227" s="28"/>
    </row>
    <row r="228" spans="1:24" ht="20.25" thickTop="1" thickBot="1" x14ac:dyDescent="0.3">
      <c r="A228" s="28">
        <v>14</v>
      </c>
      <c r="B228" s="28">
        <v>1</v>
      </c>
      <c r="C228" s="4">
        <f t="shared" si="25"/>
        <v>45</v>
      </c>
      <c r="D228" s="4">
        <f t="shared" si="28"/>
        <v>25</v>
      </c>
      <c r="E228" s="28" t="str">
        <f t="shared" si="26"/>
        <v>14.1.45</v>
      </c>
      <c r="F228" s="28" t="str">
        <f>P176</f>
        <v>13.1.55.1</v>
      </c>
      <c r="G228" s="29"/>
      <c r="H228" s="29" t="s">
        <v>442</v>
      </c>
      <c r="I228" s="27" t="s">
        <v>593</v>
      </c>
      <c r="J228" s="31"/>
      <c r="K228" s="31"/>
      <c r="L228" s="31"/>
      <c r="M228" s="31"/>
      <c r="N228" s="31" t="s">
        <v>556</v>
      </c>
      <c r="O228" s="28"/>
      <c r="P228" s="34" t="str">
        <f t="shared" si="27"/>
        <v>14.1.45.</v>
      </c>
      <c r="Q228" s="28"/>
      <c r="R228" s="28"/>
      <c r="S228" s="31"/>
      <c r="T228" s="31"/>
      <c r="U228" s="28"/>
      <c r="V228" s="28">
        <v>0</v>
      </c>
      <c r="W228" s="28">
        <v>0</v>
      </c>
      <c r="X228" s="28"/>
    </row>
    <row r="229" spans="1:24" ht="20.25" thickTop="1" thickBot="1" x14ac:dyDescent="0.3">
      <c r="A229" s="28">
        <v>14</v>
      </c>
      <c r="B229" s="28">
        <v>1</v>
      </c>
      <c r="C229" s="4">
        <f t="shared" si="25"/>
        <v>46</v>
      </c>
      <c r="D229" s="4">
        <f t="shared" si="28"/>
        <v>25</v>
      </c>
      <c r="E229" s="28" t="str">
        <f t="shared" si="26"/>
        <v>14.1.46</v>
      </c>
      <c r="F229" s="28" t="str">
        <f>P176</f>
        <v>13.1.55.1</v>
      </c>
      <c r="G229" s="29"/>
      <c r="H229" s="29" t="s">
        <v>443</v>
      </c>
      <c r="I229" s="27" t="s">
        <v>594</v>
      </c>
      <c r="J229" s="31"/>
      <c r="K229" s="31"/>
      <c r="L229" s="31"/>
      <c r="M229" s="31"/>
      <c r="N229" s="31" t="s">
        <v>556</v>
      </c>
      <c r="O229" s="28"/>
      <c r="P229" s="34" t="str">
        <f t="shared" si="27"/>
        <v>14.1.46.</v>
      </c>
      <c r="Q229" s="28"/>
      <c r="R229" s="28"/>
      <c r="S229" s="31"/>
      <c r="T229" s="31"/>
      <c r="U229" s="28"/>
      <c r="V229" s="28">
        <v>0</v>
      </c>
      <c r="W229" s="28">
        <v>0</v>
      </c>
      <c r="X229" s="28"/>
    </row>
    <row r="230" spans="1:24" ht="20.25" thickTop="1" thickBot="1" x14ac:dyDescent="0.3">
      <c r="A230" s="28">
        <v>14</v>
      </c>
      <c r="B230" s="28">
        <v>1</v>
      </c>
      <c r="C230" s="4">
        <f t="shared" si="25"/>
        <v>47</v>
      </c>
      <c r="D230" s="4">
        <f>IF(I230="Nữ",IF((A230&lt;&gt;A229),0,D229),IF(A230&lt;&gt;A229,1,IF(ISBLANK(B230),D229,D229+1)))</f>
        <v>25</v>
      </c>
      <c r="E230" s="28" t="str">
        <f t="shared" si="26"/>
        <v>14.1.47</v>
      </c>
      <c r="F230" s="28" t="str">
        <f>P176</f>
        <v>13.1.55.1</v>
      </c>
      <c r="G230" s="29"/>
      <c r="H230" s="29" t="s">
        <v>444</v>
      </c>
      <c r="I230" s="27" t="s">
        <v>594</v>
      </c>
      <c r="J230" s="31"/>
      <c r="K230" s="31"/>
      <c r="L230" s="31"/>
      <c r="M230" s="31"/>
      <c r="N230" s="31" t="s">
        <v>556</v>
      </c>
      <c r="O230" s="28"/>
      <c r="P230" s="34" t="str">
        <f t="shared" si="27"/>
        <v>14.1.47.</v>
      </c>
      <c r="Q230" s="28"/>
      <c r="R230" s="28"/>
      <c r="S230" s="31"/>
      <c r="T230" s="31"/>
      <c r="U230" s="28"/>
      <c r="V230" s="28">
        <v>0</v>
      </c>
      <c r="W230" s="28">
        <v>0</v>
      </c>
      <c r="X230" s="28"/>
    </row>
    <row r="231" spans="1:24" ht="20.25" thickTop="1" thickBot="1" x14ac:dyDescent="0.3">
      <c r="A231" s="28">
        <v>14</v>
      </c>
      <c r="B231" s="28">
        <v>1</v>
      </c>
      <c r="C231" s="4">
        <f t="shared" si="25"/>
        <v>48</v>
      </c>
      <c r="D231" s="4">
        <f t="shared" ref="D231:D239" si="29">IF(I231="Nữ",IF((A231&lt;&gt;A230),0,D230),IF(A231&lt;&gt;A230,1,IF(ISBLANK(B231),D230,D230+1)))</f>
        <v>26</v>
      </c>
      <c r="E231" s="28" t="str">
        <f t="shared" si="26"/>
        <v>14.1.48</v>
      </c>
      <c r="F231" s="28" t="str">
        <f>P178</f>
        <v>13.1.57.1</v>
      </c>
      <c r="G231" s="29"/>
      <c r="H231" s="29" t="s">
        <v>462</v>
      </c>
      <c r="I231" s="27" t="s">
        <v>593</v>
      </c>
      <c r="J231" s="31"/>
      <c r="K231" s="31"/>
      <c r="L231" s="31"/>
      <c r="M231" s="31"/>
      <c r="N231" s="31" t="s">
        <v>556</v>
      </c>
      <c r="O231" s="28"/>
      <c r="P231" s="34" t="str">
        <f t="shared" si="27"/>
        <v>14.1.48.</v>
      </c>
      <c r="Q231" s="28"/>
      <c r="R231" s="28"/>
      <c r="S231" s="31"/>
      <c r="T231" s="31"/>
      <c r="U231" s="28"/>
      <c r="V231" s="28">
        <v>0</v>
      </c>
      <c r="W231" s="28">
        <v>0</v>
      </c>
      <c r="X231" s="28"/>
    </row>
    <row r="232" spans="1:24" ht="20.25" thickTop="1" thickBot="1" x14ac:dyDescent="0.3">
      <c r="A232" s="28">
        <v>14</v>
      </c>
      <c r="B232" s="28">
        <v>1</v>
      </c>
      <c r="C232" s="4">
        <f t="shared" si="25"/>
        <v>49</v>
      </c>
      <c r="D232" s="4">
        <f t="shared" si="29"/>
        <v>26</v>
      </c>
      <c r="E232" s="28" t="str">
        <f t="shared" si="26"/>
        <v>14.1.49</v>
      </c>
      <c r="F232" s="28" t="str">
        <f>P178</f>
        <v>13.1.57.1</v>
      </c>
      <c r="G232" s="29"/>
      <c r="H232" s="29" t="s">
        <v>424</v>
      </c>
      <c r="I232" s="27" t="s">
        <v>594</v>
      </c>
      <c r="J232" s="31"/>
      <c r="K232" s="31"/>
      <c r="L232" s="31"/>
      <c r="M232" s="31"/>
      <c r="N232" s="31" t="s">
        <v>556</v>
      </c>
      <c r="O232" s="28"/>
      <c r="P232" s="34" t="str">
        <f t="shared" si="27"/>
        <v>14.1.49.</v>
      </c>
      <c r="Q232" s="28"/>
      <c r="R232" s="28"/>
      <c r="S232" s="31"/>
      <c r="T232" s="31"/>
      <c r="U232" s="28"/>
      <c r="V232" s="28">
        <v>0</v>
      </c>
      <c r="W232" s="28">
        <v>0</v>
      </c>
      <c r="X232" s="28"/>
    </row>
    <row r="233" spans="1:24" ht="20.25" thickTop="1" thickBot="1" x14ac:dyDescent="0.3">
      <c r="A233" s="28">
        <v>14</v>
      </c>
      <c r="B233" s="28">
        <v>1</v>
      </c>
      <c r="C233" s="4">
        <f t="shared" si="25"/>
        <v>50</v>
      </c>
      <c r="D233" s="4">
        <f t="shared" si="29"/>
        <v>26</v>
      </c>
      <c r="E233" s="28" t="str">
        <f t="shared" si="26"/>
        <v>14.1.50</v>
      </c>
      <c r="F233" s="28" t="str">
        <f>P178</f>
        <v>13.1.57.1</v>
      </c>
      <c r="G233" s="29"/>
      <c r="H233" s="29" t="s">
        <v>445</v>
      </c>
      <c r="I233" s="27" t="s">
        <v>594</v>
      </c>
      <c r="J233" s="31"/>
      <c r="K233" s="31"/>
      <c r="L233" s="31"/>
      <c r="M233" s="31"/>
      <c r="N233" s="31" t="s">
        <v>556</v>
      </c>
      <c r="O233" s="28"/>
      <c r="P233" s="34" t="str">
        <f t="shared" si="27"/>
        <v>14.1.50.</v>
      </c>
      <c r="Q233" s="28"/>
      <c r="R233" s="28"/>
      <c r="S233" s="31"/>
      <c r="T233" s="31"/>
      <c r="U233" s="28"/>
      <c r="V233" s="28">
        <v>0</v>
      </c>
      <c r="W233" s="28">
        <v>0</v>
      </c>
      <c r="X233" s="28"/>
    </row>
    <row r="234" spans="1:24" ht="20.25" thickTop="1" thickBot="1" x14ac:dyDescent="0.3">
      <c r="A234" s="28">
        <v>14</v>
      </c>
      <c r="B234" s="28">
        <v>1</v>
      </c>
      <c r="C234" s="4">
        <f t="shared" si="25"/>
        <v>51</v>
      </c>
      <c r="D234" s="4">
        <f t="shared" si="29"/>
        <v>26</v>
      </c>
      <c r="E234" s="28" t="str">
        <f t="shared" si="26"/>
        <v>14.1.51</v>
      </c>
      <c r="F234" s="28" t="str">
        <f>P178</f>
        <v>13.1.57.1</v>
      </c>
      <c r="G234" s="29"/>
      <c r="H234" s="29" t="s">
        <v>446</v>
      </c>
      <c r="I234" s="27" t="s">
        <v>594</v>
      </c>
      <c r="J234" s="31"/>
      <c r="K234" s="31"/>
      <c r="L234" s="31"/>
      <c r="M234" s="31"/>
      <c r="N234" s="31" t="s">
        <v>556</v>
      </c>
      <c r="O234" s="28"/>
      <c r="P234" s="34" t="str">
        <f t="shared" ref="P234:P239" si="30">E234&amp;"."&amp;O234</f>
        <v>14.1.51.</v>
      </c>
      <c r="Q234" s="28"/>
      <c r="R234" s="28"/>
      <c r="S234" s="31"/>
      <c r="T234" s="31"/>
      <c r="U234" s="28"/>
      <c r="V234" s="28">
        <v>0</v>
      </c>
      <c r="W234" s="28">
        <v>0</v>
      </c>
      <c r="X234" s="28"/>
    </row>
    <row r="235" spans="1:24" ht="20.25" thickTop="1" thickBot="1" x14ac:dyDescent="0.3">
      <c r="A235" s="28">
        <v>14</v>
      </c>
      <c r="B235" s="28">
        <v>1</v>
      </c>
      <c r="C235" s="4">
        <f t="shared" si="25"/>
        <v>52</v>
      </c>
      <c r="D235" s="4">
        <f t="shared" si="29"/>
        <v>27</v>
      </c>
      <c r="E235" s="28" t="str">
        <f t="shared" si="26"/>
        <v>14.1.52</v>
      </c>
      <c r="F235" s="28" t="str">
        <f>P179</f>
        <v>13.1.58.1</v>
      </c>
      <c r="G235" s="29"/>
      <c r="H235" s="29" t="s">
        <v>447</v>
      </c>
      <c r="I235" s="27" t="s">
        <v>593</v>
      </c>
      <c r="J235" s="31"/>
      <c r="K235" s="31"/>
      <c r="L235" s="31"/>
      <c r="M235" s="31"/>
      <c r="N235" s="31" t="s">
        <v>556</v>
      </c>
      <c r="O235" s="28"/>
      <c r="P235" s="34" t="str">
        <f t="shared" si="30"/>
        <v>14.1.52.</v>
      </c>
      <c r="Q235" s="28"/>
      <c r="R235" s="28"/>
      <c r="S235" s="31"/>
      <c r="T235" s="31"/>
      <c r="U235" s="28"/>
      <c r="V235" s="28">
        <v>0</v>
      </c>
      <c r="W235" s="28">
        <v>0</v>
      </c>
      <c r="X235" s="28"/>
    </row>
    <row r="236" spans="1:24" ht="20.25" thickTop="1" thickBot="1" x14ac:dyDescent="0.3">
      <c r="A236" s="28">
        <v>14</v>
      </c>
      <c r="B236" s="28">
        <v>1</v>
      </c>
      <c r="C236" s="4">
        <f t="shared" si="25"/>
        <v>53</v>
      </c>
      <c r="D236" s="4">
        <f t="shared" si="29"/>
        <v>28</v>
      </c>
      <c r="E236" s="28" t="str">
        <f t="shared" si="26"/>
        <v>14.1.53</v>
      </c>
      <c r="F236" s="28" t="str">
        <f>P179</f>
        <v>13.1.58.1</v>
      </c>
      <c r="G236" s="29"/>
      <c r="H236" s="29" t="s">
        <v>448</v>
      </c>
      <c r="I236" s="27" t="s">
        <v>593</v>
      </c>
      <c r="J236" s="31"/>
      <c r="K236" s="31"/>
      <c r="L236" s="31"/>
      <c r="M236" s="31"/>
      <c r="N236" s="31" t="s">
        <v>556</v>
      </c>
      <c r="O236" s="28"/>
      <c r="P236" s="34" t="str">
        <f t="shared" si="30"/>
        <v>14.1.53.</v>
      </c>
      <c r="Q236" s="28"/>
      <c r="R236" s="28"/>
      <c r="S236" s="31"/>
      <c r="T236" s="31"/>
      <c r="U236" s="28"/>
      <c r="V236" s="28">
        <v>0</v>
      </c>
      <c r="W236" s="28">
        <v>0</v>
      </c>
      <c r="X236" s="28"/>
    </row>
    <row r="237" spans="1:24" ht="20.25" thickTop="1" thickBot="1" x14ac:dyDescent="0.3">
      <c r="A237" s="28">
        <v>14</v>
      </c>
      <c r="B237" s="28">
        <v>1</v>
      </c>
      <c r="C237" s="4">
        <f t="shared" si="25"/>
        <v>54</v>
      </c>
      <c r="D237" s="4">
        <f>IF(I237="Nữ",IF((A237&lt;&gt;A236),0,D236),IF(A237&lt;&gt;A236,1,IF(ISBLANK(B237),D236,D236+1)))</f>
        <v>29</v>
      </c>
      <c r="E237" s="28" t="str">
        <f t="shared" si="26"/>
        <v>14.1.54</v>
      </c>
      <c r="F237" s="28" t="str">
        <f>P180</f>
        <v>13.1.59.1</v>
      </c>
      <c r="G237" s="29"/>
      <c r="H237" s="29" t="s">
        <v>449</v>
      </c>
      <c r="I237" s="27" t="s">
        <v>593</v>
      </c>
      <c r="J237" s="31"/>
      <c r="K237" s="31"/>
      <c r="L237" s="31"/>
      <c r="M237" s="31"/>
      <c r="N237" s="31" t="s">
        <v>556</v>
      </c>
      <c r="O237" s="28"/>
      <c r="P237" s="34" t="str">
        <f t="shared" si="30"/>
        <v>14.1.54.</v>
      </c>
      <c r="Q237" s="28"/>
      <c r="R237" s="28"/>
      <c r="S237" s="31"/>
      <c r="T237" s="31"/>
      <c r="U237" s="28"/>
      <c r="V237" s="28">
        <v>0</v>
      </c>
      <c r="W237" s="28">
        <v>0</v>
      </c>
      <c r="X237" s="28"/>
    </row>
    <row r="238" spans="1:24" ht="20.25" thickTop="1" thickBot="1" x14ac:dyDescent="0.3">
      <c r="A238" s="28">
        <v>14</v>
      </c>
      <c r="B238" s="28">
        <v>1</v>
      </c>
      <c r="C238" s="4">
        <f t="shared" si="25"/>
        <v>55</v>
      </c>
      <c r="D238" s="4">
        <f t="shared" si="29"/>
        <v>29</v>
      </c>
      <c r="E238" s="28" t="str">
        <f t="shared" si="26"/>
        <v>14.1.55</v>
      </c>
      <c r="F238" s="28" t="str">
        <f>P180</f>
        <v>13.1.59.1</v>
      </c>
      <c r="G238" s="29"/>
      <c r="H238" s="29" t="s">
        <v>450</v>
      </c>
      <c r="I238" s="27" t="s">
        <v>594</v>
      </c>
      <c r="J238" s="31"/>
      <c r="K238" s="31"/>
      <c r="L238" s="31"/>
      <c r="M238" s="31"/>
      <c r="N238" s="31" t="s">
        <v>556</v>
      </c>
      <c r="O238" s="28"/>
      <c r="P238" s="34" t="str">
        <f t="shared" si="30"/>
        <v>14.1.55.</v>
      </c>
      <c r="Q238" s="28"/>
      <c r="R238" s="28"/>
      <c r="S238" s="31"/>
      <c r="T238" s="31"/>
      <c r="U238" s="28"/>
      <c r="V238" s="28">
        <v>0</v>
      </c>
      <c r="W238" s="28">
        <v>0</v>
      </c>
      <c r="X238" s="28"/>
    </row>
    <row r="239" spans="1:24" ht="19.5" thickTop="1" x14ac:dyDescent="0.25">
      <c r="A239" s="28">
        <v>14</v>
      </c>
      <c r="B239" s="28">
        <v>1</v>
      </c>
      <c r="C239" s="4">
        <f t="shared" si="25"/>
        <v>56</v>
      </c>
      <c r="D239" s="4">
        <f t="shared" si="29"/>
        <v>29</v>
      </c>
      <c r="E239" s="28" t="str">
        <f t="shared" si="26"/>
        <v>14.1.56</v>
      </c>
      <c r="F239" s="28" t="str">
        <f>P180</f>
        <v>13.1.59.1</v>
      </c>
      <c r="G239" s="29"/>
      <c r="H239" s="29" t="s">
        <v>451</v>
      </c>
      <c r="I239" s="27" t="s">
        <v>594</v>
      </c>
      <c r="J239" s="31"/>
      <c r="K239" s="31"/>
      <c r="L239" s="31"/>
      <c r="M239" s="31"/>
      <c r="N239" s="31" t="s">
        <v>556</v>
      </c>
      <c r="O239" s="28"/>
      <c r="P239" s="34" t="str">
        <f t="shared" si="30"/>
        <v>14.1.56.</v>
      </c>
      <c r="Q239" s="28"/>
      <c r="R239" s="28"/>
      <c r="S239" s="31"/>
      <c r="T239" s="31"/>
      <c r="U239" s="28"/>
      <c r="V239" s="28">
        <v>0</v>
      </c>
      <c r="W239" s="28">
        <v>0</v>
      </c>
      <c r="X239" s="28"/>
    </row>
    <row r="240" spans="1:24" x14ac:dyDescent="0.25">
      <c r="A240" s="8">
        <v>7</v>
      </c>
      <c r="B240" s="14">
        <v>2</v>
      </c>
      <c r="C240" s="21">
        <v>1</v>
      </c>
      <c r="D240" s="8">
        <v>1</v>
      </c>
      <c r="E240" s="21"/>
      <c r="F240" s="8" t="str">
        <f>P10</f>
        <v>6.0.1.1</v>
      </c>
      <c r="G240" s="9"/>
      <c r="H240" s="9" t="s">
        <v>595</v>
      </c>
      <c r="I240" s="27"/>
      <c r="J240" s="10"/>
      <c r="K240" s="10"/>
      <c r="L240" s="10"/>
      <c r="M240" s="10"/>
      <c r="N240" s="20" t="s">
        <v>556</v>
      </c>
      <c r="O240" s="8"/>
      <c r="P240" s="25"/>
      <c r="Q240" s="8"/>
      <c r="R240" s="8"/>
      <c r="S240" s="10"/>
      <c r="T240" s="10"/>
      <c r="U240" s="8"/>
      <c r="V240" s="8"/>
      <c r="W240" s="8"/>
      <c r="X240" s="8"/>
    </row>
    <row r="241" spans="1:24" x14ac:dyDescent="0.25">
      <c r="A241" s="8">
        <v>7</v>
      </c>
      <c r="B241" s="14">
        <v>3</v>
      </c>
      <c r="C241" s="21">
        <v>1</v>
      </c>
      <c r="D241" s="8">
        <v>1</v>
      </c>
      <c r="E241" s="21"/>
      <c r="F241" s="8" t="str">
        <f>P10</f>
        <v>6.0.1.1</v>
      </c>
      <c r="G241" s="9"/>
      <c r="H241" s="9" t="s">
        <v>596</v>
      </c>
      <c r="I241" s="27"/>
      <c r="J241" s="10"/>
      <c r="K241" s="10"/>
      <c r="L241" s="10"/>
      <c r="M241" s="10"/>
      <c r="N241" s="20" t="s">
        <v>556</v>
      </c>
      <c r="O241" s="8"/>
      <c r="P241" s="8"/>
      <c r="Q241" s="8"/>
      <c r="R241" s="8"/>
      <c r="S241" s="10"/>
      <c r="T241" s="10"/>
      <c r="U241" s="8"/>
      <c r="V241" s="8"/>
      <c r="W241" s="8"/>
      <c r="X241" s="8"/>
    </row>
    <row r="242" spans="1:24" x14ac:dyDescent="0.25">
      <c r="A242" s="8">
        <v>12</v>
      </c>
      <c r="B242" s="14"/>
      <c r="C242" s="21"/>
      <c r="D242" s="8"/>
      <c r="E242" s="21"/>
      <c r="F242" s="8"/>
      <c r="G242" s="9"/>
      <c r="H242" s="9"/>
      <c r="I242" s="27"/>
      <c r="J242" s="10"/>
      <c r="K242" s="10"/>
      <c r="L242" s="10"/>
      <c r="M242" s="10"/>
      <c r="N242" s="20"/>
      <c r="O242" s="8"/>
      <c r="P242" s="8"/>
      <c r="Q242" s="8"/>
      <c r="R242" s="8"/>
      <c r="S242" s="10"/>
      <c r="T242" s="10"/>
      <c r="U242" s="8"/>
      <c r="V242" s="8"/>
      <c r="W242" s="8"/>
      <c r="X242" s="8"/>
    </row>
    <row r="243" spans="1:24" x14ac:dyDescent="0.25">
      <c r="A243" s="8"/>
      <c r="B243" s="14"/>
      <c r="C243" s="21"/>
      <c r="D243" s="8"/>
      <c r="E243" s="21"/>
      <c r="F243" s="8"/>
      <c r="G243" s="9"/>
      <c r="H243" s="9"/>
      <c r="I243" s="27"/>
      <c r="J243" s="10"/>
      <c r="K243" s="10"/>
      <c r="L243" s="10"/>
      <c r="M243" s="10"/>
      <c r="N243" s="20"/>
      <c r="O243" s="8"/>
      <c r="P243" s="8"/>
      <c r="Q243" s="8"/>
      <c r="R243" s="8"/>
      <c r="S243" s="10"/>
      <c r="T243" s="10"/>
      <c r="U243" s="8"/>
      <c r="V243" s="8"/>
      <c r="W243" s="8"/>
      <c r="X243" s="8"/>
    </row>
    <row r="244" spans="1:24" x14ac:dyDescent="0.25">
      <c r="A244" s="8"/>
      <c r="B244" s="14"/>
      <c r="C244" s="21"/>
      <c r="D244" s="8"/>
      <c r="E244" s="21"/>
      <c r="F244" s="8"/>
      <c r="G244" s="9"/>
      <c r="H244" s="9"/>
      <c r="I244" s="27"/>
      <c r="J244" s="10"/>
      <c r="K244" s="10"/>
      <c r="L244" s="10"/>
      <c r="M244" s="10"/>
      <c r="N244" s="20"/>
      <c r="O244" s="8"/>
      <c r="P244" s="8"/>
      <c r="Q244" s="8"/>
      <c r="R244" s="8"/>
      <c r="S244" s="10"/>
      <c r="T244" s="10"/>
      <c r="U244" s="8"/>
      <c r="V244" s="8"/>
      <c r="W244" s="8"/>
      <c r="X244" s="8"/>
    </row>
    <row r="245" spans="1:24" x14ac:dyDescent="0.25">
      <c r="A245" s="8"/>
      <c r="B245" s="14"/>
      <c r="C245" s="21"/>
      <c r="D245" s="8"/>
      <c r="E245" s="21"/>
      <c r="F245" s="8"/>
      <c r="G245" s="9"/>
      <c r="H245" s="9"/>
      <c r="I245" s="27"/>
      <c r="J245" s="10"/>
      <c r="K245" s="10"/>
      <c r="L245" s="10"/>
      <c r="M245" s="10"/>
      <c r="N245" s="20"/>
      <c r="O245" s="8"/>
      <c r="P245" s="8"/>
      <c r="Q245" s="8"/>
      <c r="R245" s="8"/>
      <c r="S245" s="10"/>
      <c r="T245" s="10"/>
      <c r="U245" s="8"/>
      <c r="V245" s="8"/>
      <c r="W245" s="8"/>
      <c r="X245" s="8"/>
    </row>
    <row r="246" spans="1:24" x14ac:dyDescent="0.25">
      <c r="A246" s="8"/>
      <c r="B246" s="14"/>
      <c r="C246" s="21"/>
      <c r="D246" s="8"/>
      <c r="E246" s="21"/>
      <c r="F246" s="8"/>
      <c r="G246" s="9"/>
      <c r="H246" s="9"/>
      <c r="I246" s="27"/>
      <c r="J246" s="10"/>
      <c r="K246" s="10"/>
      <c r="L246" s="10"/>
      <c r="M246" s="10"/>
      <c r="N246" s="20"/>
      <c r="O246" s="8"/>
      <c r="P246" s="8"/>
      <c r="Q246" s="8"/>
      <c r="R246" s="8"/>
      <c r="S246" s="10"/>
      <c r="T246" s="10"/>
      <c r="U246" s="8"/>
      <c r="V246" s="8"/>
      <c r="W246" s="8"/>
      <c r="X246" s="8"/>
    </row>
    <row r="247" spans="1:24" x14ac:dyDescent="0.25">
      <c r="A247" s="8"/>
      <c r="B247" s="14"/>
      <c r="C247" s="21"/>
      <c r="D247" s="8"/>
      <c r="E247" s="21"/>
      <c r="F247" s="8"/>
      <c r="G247" s="9"/>
      <c r="H247" s="9"/>
      <c r="I247" s="27"/>
      <c r="J247" s="10"/>
      <c r="K247" s="10"/>
      <c r="L247" s="10"/>
      <c r="M247" s="10"/>
      <c r="N247" s="20"/>
      <c r="O247" s="8"/>
      <c r="P247" s="8"/>
      <c r="Q247" s="8"/>
      <c r="R247" s="8"/>
      <c r="S247" s="10"/>
      <c r="T247" s="10"/>
      <c r="U247" s="8"/>
      <c r="V247" s="8"/>
      <c r="W247" s="8"/>
      <c r="X247" s="8"/>
    </row>
    <row r="248" spans="1:24" x14ac:dyDescent="0.25">
      <c r="A248" s="8"/>
      <c r="B248" s="14"/>
      <c r="C248" s="21"/>
      <c r="D248" s="8"/>
      <c r="E248" s="21"/>
      <c r="F248" s="8"/>
      <c r="G248" s="9"/>
      <c r="H248" s="9"/>
      <c r="I248" s="27"/>
      <c r="J248" s="10"/>
      <c r="K248" s="10"/>
      <c r="L248" s="10"/>
      <c r="M248" s="10"/>
      <c r="N248" s="20"/>
      <c r="O248" s="8"/>
      <c r="P248" s="8"/>
      <c r="Q248" s="8"/>
      <c r="R248" s="8"/>
      <c r="S248" s="10"/>
      <c r="T248" s="10"/>
      <c r="U248" s="8"/>
      <c r="V248" s="8"/>
      <c r="W248" s="8"/>
      <c r="X248" s="8"/>
    </row>
    <row r="249" spans="1:24" x14ac:dyDescent="0.25">
      <c r="A249" s="8"/>
      <c r="B249" s="14"/>
      <c r="C249" s="21"/>
      <c r="D249" s="8"/>
      <c r="E249" s="21"/>
      <c r="F249" s="8"/>
      <c r="G249" s="9"/>
      <c r="H249" s="9"/>
      <c r="I249" s="27"/>
      <c r="J249" s="10"/>
      <c r="K249" s="10"/>
      <c r="L249" s="10"/>
      <c r="M249" s="10"/>
      <c r="N249" s="20"/>
      <c r="O249" s="8"/>
      <c r="P249" s="8"/>
      <c r="Q249" s="8"/>
      <c r="R249" s="8"/>
      <c r="S249" s="10"/>
      <c r="T249" s="10"/>
      <c r="U249" s="8"/>
      <c r="V249" s="8"/>
      <c r="W249" s="8"/>
      <c r="X249" s="8"/>
    </row>
    <row r="250" spans="1:24" x14ac:dyDescent="0.25">
      <c r="A250" s="8"/>
      <c r="B250" s="14"/>
      <c r="C250" s="21"/>
      <c r="D250" s="8"/>
      <c r="E250" s="21"/>
      <c r="F250" s="8"/>
      <c r="G250" s="9"/>
      <c r="H250" s="9"/>
      <c r="I250" s="27"/>
      <c r="J250" s="10"/>
      <c r="K250" s="10"/>
      <c r="L250" s="10"/>
      <c r="M250" s="10"/>
      <c r="N250" s="20"/>
      <c r="O250" s="8"/>
      <c r="P250" s="8"/>
      <c r="Q250" s="8"/>
      <c r="R250" s="8"/>
      <c r="S250" s="10"/>
      <c r="T250" s="10"/>
      <c r="U250" s="8"/>
      <c r="V250" s="8"/>
      <c r="W250" s="8"/>
      <c r="X250" s="8"/>
    </row>
    <row r="251" spans="1:24" x14ac:dyDescent="0.25">
      <c r="A251" s="8"/>
      <c r="B251" s="14"/>
      <c r="C251" s="21"/>
      <c r="D251" s="8"/>
      <c r="E251" s="21"/>
      <c r="F251" s="8"/>
      <c r="G251" s="9"/>
      <c r="H251" s="9"/>
      <c r="I251" s="27"/>
      <c r="J251" s="10"/>
      <c r="K251" s="10"/>
      <c r="L251" s="10"/>
      <c r="M251" s="10"/>
      <c r="N251" s="20"/>
      <c r="O251" s="8"/>
      <c r="P251" s="8"/>
      <c r="Q251" s="8"/>
      <c r="R251" s="8"/>
      <c r="S251" s="10"/>
      <c r="T251" s="10"/>
      <c r="U251" s="8"/>
      <c r="V251" s="8"/>
      <c r="W251" s="8"/>
      <c r="X251" s="8"/>
    </row>
    <row r="252" spans="1:24" x14ac:dyDescent="0.25">
      <c r="A252" s="8"/>
      <c r="B252" s="14"/>
      <c r="C252" s="21"/>
      <c r="D252" s="8"/>
      <c r="E252" s="21"/>
      <c r="F252" s="8"/>
      <c r="G252" s="9"/>
      <c r="H252" s="9"/>
      <c r="I252" s="27"/>
      <c r="J252" s="10"/>
      <c r="K252" s="10"/>
      <c r="L252" s="10"/>
      <c r="M252" s="10"/>
      <c r="N252" s="20"/>
      <c r="O252" s="8"/>
      <c r="P252" s="8"/>
      <c r="Q252" s="8"/>
      <c r="R252" s="8"/>
      <c r="S252" s="10"/>
      <c r="T252" s="10"/>
      <c r="U252" s="8"/>
      <c r="V252" s="8"/>
      <c r="W252" s="8"/>
      <c r="X252" s="8"/>
    </row>
    <row r="253" spans="1:24" x14ac:dyDescent="0.25">
      <c r="G253" s="3"/>
      <c r="H253" s="3"/>
    </row>
    <row r="254" spans="1:24" x14ac:dyDescent="0.25">
      <c r="G254" s="3"/>
      <c r="H254" s="3"/>
    </row>
    <row r="255" spans="1:24" x14ac:dyDescent="0.25">
      <c r="G255" s="3"/>
      <c r="H255" s="3"/>
    </row>
    <row r="256" spans="1:24" x14ac:dyDescent="0.25">
      <c r="G256" s="3"/>
      <c r="H256" s="3"/>
    </row>
    <row r="257" spans="7:8" x14ac:dyDescent="0.25">
      <c r="G257" s="3"/>
      <c r="H257" s="3"/>
    </row>
    <row r="258" spans="7:8" x14ac:dyDescent="0.25">
      <c r="G258" s="3"/>
      <c r="H258" s="3"/>
    </row>
    <row r="259" spans="7:8" x14ac:dyDescent="0.25">
      <c r="G259" s="3"/>
      <c r="H259" s="3"/>
    </row>
    <row r="260" spans="7:8" x14ac:dyDescent="0.25">
      <c r="G260" s="3"/>
      <c r="H260" s="3"/>
    </row>
    <row r="261" spans="7:8" x14ac:dyDescent="0.25">
      <c r="G261" s="3"/>
      <c r="H261" s="3"/>
    </row>
    <row r="262" spans="7:8" x14ac:dyDescent="0.25">
      <c r="G262" s="3"/>
      <c r="H262" s="3"/>
    </row>
    <row r="263" spans="7:8" x14ac:dyDescent="0.25">
      <c r="G263" s="3"/>
      <c r="H263" s="3"/>
    </row>
    <row r="264" spans="7:8" x14ac:dyDescent="0.25">
      <c r="G264" s="3"/>
      <c r="H264" s="3"/>
    </row>
    <row r="265" spans="7:8" x14ac:dyDescent="0.25">
      <c r="G265" s="3"/>
      <c r="H265" s="3"/>
    </row>
    <row r="266" spans="7:8" x14ac:dyDescent="0.25">
      <c r="G266" s="3"/>
      <c r="H266" s="3"/>
    </row>
    <row r="267" spans="7:8" x14ac:dyDescent="0.25">
      <c r="G267" s="3"/>
      <c r="H267" s="3"/>
    </row>
    <row r="268" spans="7:8" x14ac:dyDescent="0.25">
      <c r="G268" s="3"/>
      <c r="H268" s="3"/>
    </row>
    <row r="269" spans="7:8" x14ac:dyDescent="0.25">
      <c r="G269" s="3"/>
      <c r="H269" s="3"/>
    </row>
    <row r="270" spans="7:8" x14ac:dyDescent="0.25">
      <c r="G270" s="3"/>
      <c r="H270" s="3"/>
    </row>
    <row r="271" spans="7:8" x14ac:dyDescent="0.25">
      <c r="G271" s="3"/>
      <c r="H271" s="3"/>
    </row>
    <row r="272" spans="7:8" x14ac:dyDescent="0.25">
      <c r="G272" s="3"/>
      <c r="H272" s="3"/>
    </row>
    <row r="273" spans="7:8" x14ac:dyDescent="0.25">
      <c r="G273" s="3"/>
      <c r="H273" s="3"/>
    </row>
    <row r="274" spans="7:8" x14ac:dyDescent="0.25">
      <c r="G274" s="3"/>
      <c r="H274" s="3"/>
    </row>
    <row r="275" spans="7:8" x14ac:dyDescent="0.25">
      <c r="G275" s="3"/>
      <c r="H275" s="3"/>
    </row>
    <row r="276" spans="7:8" x14ac:dyDescent="0.25">
      <c r="G276" s="3"/>
      <c r="H276" s="3"/>
    </row>
    <row r="277" spans="7:8" x14ac:dyDescent="0.25">
      <c r="G277" s="3"/>
      <c r="H277" s="3"/>
    </row>
    <row r="278" spans="7:8" x14ac:dyDescent="0.25">
      <c r="G278" s="3"/>
      <c r="H278" s="3"/>
    </row>
    <row r="279" spans="7:8" x14ac:dyDescent="0.25">
      <c r="G279" s="3"/>
      <c r="H279" s="3"/>
    </row>
    <row r="280" spans="7:8" x14ac:dyDescent="0.25">
      <c r="G280" s="3"/>
      <c r="H280" s="3"/>
    </row>
    <row r="281" spans="7:8" x14ac:dyDescent="0.25">
      <c r="G281" s="3"/>
      <c r="H281" s="3"/>
    </row>
    <row r="282" spans="7:8" x14ac:dyDescent="0.25">
      <c r="G282" s="3"/>
      <c r="H282" s="3"/>
    </row>
    <row r="283" spans="7:8" x14ac:dyDescent="0.25">
      <c r="G283" s="3"/>
      <c r="H283" s="3"/>
    </row>
    <row r="284" spans="7:8" x14ac:dyDescent="0.25">
      <c r="G284" s="3"/>
      <c r="H284" s="3"/>
    </row>
    <row r="285" spans="7:8" x14ac:dyDescent="0.25">
      <c r="G285" s="3"/>
      <c r="H285" s="3"/>
    </row>
    <row r="286" spans="7:8" x14ac:dyDescent="0.25">
      <c r="G286" s="3"/>
      <c r="H286" s="3"/>
    </row>
    <row r="287" spans="7:8" x14ac:dyDescent="0.25">
      <c r="G287" s="3"/>
      <c r="H287" s="3"/>
    </row>
    <row r="288" spans="7:8" x14ac:dyDescent="0.25">
      <c r="G288" s="3"/>
      <c r="H288" s="3"/>
    </row>
    <row r="289" spans="7:8" x14ac:dyDescent="0.25">
      <c r="G289" s="3"/>
      <c r="H289" s="3"/>
    </row>
    <row r="290" spans="7:8" x14ac:dyDescent="0.25">
      <c r="G290" s="3"/>
      <c r="H290" s="3"/>
    </row>
    <row r="291" spans="7:8" x14ac:dyDescent="0.25">
      <c r="G291" s="3"/>
      <c r="H291" s="3"/>
    </row>
    <row r="292" spans="7:8" x14ac:dyDescent="0.25">
      <c r="G292" s="3"/>
      <c r="H292" s="3"/>
    </row>
    <row r="293" spans="7:8" x14ac:dyDescent="0.25">
      <c r="G293" s="3"/>
      <c r="H293" s="3"/>
    </row>
    <row r="294" spans="7:8" x14ac:dyDescent="0.25">
      <c r="G294" s="3"/>
      <c r="H294" s="3"/>
    </row>
    <row r="295" spans="7:8" x14ac:dyDescent="0.25">
      <c r="G295" s="3"/>
      <c r="H295" s="3"/>
    </row>
    <row r="296" spans="7:8" x14ac:dyDescent="0.25">
      <c r="G296" s="3"/>
      <c r="H296" s="3"/>
    </row>
    <row r="297" spans="7:8" x14ac:dyDescent="0.25">
      <c r="G297" s="3"/>
      <c r="H297" s="3"/>
    </row>
    <row r="298" spans="7:8" x14ac:dyDescent="0.25">
      <c r="G298" s="3"/>
      <c r="H298" s="3"/>
    </row>
    <row r="299" spans="7:8" x14ac:dyDescent="0.25">
      <c r="G299" s="3"/>
      <c r="H299" s="3"/>
    </row>
    <row r="300" spans="7:8" x14ac:dyDescent="0.25">
      <c r="G300" s="3"/>
      <c r="H300" s="3"/>
    </row>
    <row r="301" spans="7:8" x14ac:dyDescent="0.25">
      <c r="G301" s="3"/>
      <c r="H301" s="3"/>
    </row>
    <row r="302" spans="7:8" x14ac:dyDescent="0.25">
      <c r="G302" s="3"/>
      <c r="H302" s="3"/>
    </row>
    <row r="303" spans="7:8" x14ac:dyDescent="0.25">
      <c r="G303" s="3"/>
      <c r="H303" s="3"/>
    </row>
    <row r="304" spans="7:8" x14ac:dyDescent="0.25">
      <c r="G304" s="3"/>
      <c r="H304" s="3"/>
    </row>
    <row r="305" spans="7:8" x14ac:dyDescent="0.25">
      <c r="G305" s="3"/>
      <c r="H305" s="3"/>
    </row>
    <row r="306" spans="7:8" x14ac:dyDescent="0.25">
      <c r="G306" s="3"/>
      <c r="H306" s="3"/>
    </row>
    <row r="307" spans="7:8" x14ac:dyDescent="0.25">
      <c r="G307" s="3"/>
      <c r="H307" s="3"/>
    </row>
    <row r="308" spans="7:8" x14ac:dyDescent="0.25">
      <c r="G308" s="3"/>
      <c r="H308" s="3"/>
    </row>
    <row r="309" spans="7:8" x14ac:dyDescent="0.25">
      <c r="G309" s="3"/>
      <c r="H309" s="3"/>
    </row>
    <row r="310" spans="7:8" x14ac:dyDescent="0.25">
      <c r="G310" s="3"/>
      <c r="H310" s="3"/>
    </row>
    <row r="311" spans="7:8" x14ac:dyDescent="0.25">
      <c r="G311" s="3"/>
      <c r="H311" s="3"/>
    </row>
    <row r="312" spans="7:8" x14ac:dyDescent="0.25">
      <c r="G312" s="3"/>
      <c r="H312" s="3"/>
    </row>
    <row r="313" spans="7:8" x14ac:dyDescent="0.25">
      <c r="G313" s="3"/>
      <c r="H313" s="3"/>
    </row>
    <row r="314" spans="7:8" x14ac:dyDescent="0.25">
      <c r="G314" s="3"/>
      <c r="H314" s="3"/>
    </row>
    <row r="315" spans="7:8" x14ac:dyDescent="0.25">
      <c r="G315" s="3"/>
      <c r="H315" s="3"/>
    </row>
    <row r="316" spans="7:8" x14ac:dyDescent="0.25">
      <c r="G316" s="3"/>
      <c r="H316" s="3"/>
    </row>
    <row r="317" spans="7:8" x14ac:dyDescent="0.25">
      <c r="G317" s="3"/>
      <c r="H317" s="3"/>
    </row>
    <row r="318" spans="7:8" x14ac:dyDescent="0.25">
      <c r="G318" s="3"/>
      <c r="H318" s="3"/>
    </row>
    <row r="319" spans="7:8" x14ac:dyDescent="0.25">
      <c r="G319" s="3"/>
      <c r="H319" s="3"/>
    </row>
    <row r="320" spans="7:8" x14ac:dyDescent="0.25">
      <c r="G320" s="3"/>
      <c r="H320" s="3"/>
    </row>
    <row r="321" spans="7:8" x14ac:dyDescent="0.25">
      <c r="G321" s="3"/>
      <c r="H321" s="3"/>
    </row>
    <row r="322" spans="7:8" x14ac:dyDescent="0.25">
      <c r="G322" s="3"/>
      <c r="H322" s="3"/>
    </row>
    <row r="323" spans="7:8" x14ac:dyDescent="0.25">
      <c r="G323" s="3"/>
      <c r="H323" s="3"/>
    </row>
    <row r="324" spans="7:8" x14ac:dyDescent="0.25">
      <c r="G324" s="3"/>
      <c r="H324" s="3"/>
    </row>
    <row r="325" spans="7:8" x14ac:dyDescent="0.25">
      <c r="G325" s="3"/>
      <c r="H325" s="3"/>
    </row>
    <row r="326" spans="7:8" x14ac:dyDescent="0.25">
      <c r="G326" s="3"/>
      <c r="H326" s="3"/>
    </row>
    <row r="327" spans="7:8" x14ac:dyDescent="0.25">
      <c r="G327" s="3"/>
      <c r="H327" s="3"/>
    </row>
    <row r="328" spans="7:8" x14ac:dyDescent="0.25">
      <c r="G328" s="3"/>
      <c r="H328" s="3"/>
    </row>
    <row r="329" spans="7:8" x14ac:dyDescent="0.25">
      <c r="G329" s="3"/>
      <c r="H329" s="3"/>
    </row>
    <row r="330" spans="7:8" x14ac:dyDescent="0.25">
      <c r="G330" s="3"/>
      <c r="H330" s="3"/>
    </row>
    <row r="331" spans="7:8" x14ac:dyDescent="0.25">
      <c r="G331" s="3"/>
      <c r="H331" s="3"/>
    </row>
    <row r="332" spans="7:8" x14ac:dyDescent="0.25">
      <c r="G332" s="3"/>
      <c r="H332" s="3"/>
    </row>
    <row r="333" spans="7:8" x14ac:dyDescent="0.25">
      <c r="G333" s="3"/>
      <c r="H333" s="3"/>
    </row>
    <row r="334" spans="7:8" x14ac:dyDescent="0.25">
      <c r="G334" s="3"/>
      <c r="H334" s="3"/>
    </row>
    <row r="335" spans="7:8" x14ac:dyDescent="0.25">
      <c r="G335" s="3"/>
      <c r="H335" s="3"/>
    </row>
    <row r="336" spans="7:8" x14ac:dyDescent="0.25">
      <c r="G336" s="3"/>
      <c r="H336" s="3"/>
    </row>
    <row r="337" spans="7:8" x14ac:dyDescent="0.25">
      <c r="G337" s="3"/>
      <c r="H337" s="3"/>
    </row>
    <row r="338" spans="7:8" x14ac:dyDescent="0.25">
      <c r="G338" s="3"/>
      <c r="H338" s="3"/>
    </row>
    <row r="339" spans="7:8" x14ac:dyDescent="0.25">
      <c r="G339" s="3"/>
      <c r="H339" s="3"/>
    </row>
    <row r="340" spans="7:8" x14ac:dyDescent="0.25">
      <c r="G340" s="3"/>
      <c r="H340" s="3"/>
    </row>
    <row r="341" spans="7:8" x14ac:dyDescent="0.25">
      <c r="G341" s="3"/>
      <c r="H341" s="3"/>
    </row>
    <row r="342" spans="7:8" x14ac:dyDescent="0.25">
      <c r="G342" s="3"/>
      <c r="H342" s="3"/>
    </row>
    <row r="343" spans="7:8" x14ac:dyDescent="0.25">
      <c r="G343" s="3"/>
      <c r="H343" s="3"/>
    </row>
    <row r="344" spans="7:8" x14ac:dyDescent="0.25">
      <c r="G344" s="3"/>
      <c r="H344" s="3"/>
    </row>
    <row r="345" spans="7:8" x14ac:dyDescent="0.25">
      <c r="G345" s="3"/>
      <c r="H345" s="3"/>
    </row>
    <row r="346" spans="7:8" x14ac:dyDescent="0.25">
      <c r="G346" s="3"/>
      <c r="H346" s="3"/>
    </row>
    <row r="347" spans="7:8" x14ac:dyDescent="0.25">
      <c r="G347" s="3"/>
      <c r="H347" s="3"/>
    </row>
    <row r="348" spans="7:8" x14ac:dyDescent="0.25">
      <c r="G348" s="3"/>
      <c r="H348" s="3"/>
    </row>
    <row r="349" spans="7:8" x14ac:dyDescent="0.25">
      <c r="G349" s="3"/>
      <c r="H349" s="3"/>
    </row>
    <row r="350" spans="7:8" x14ac:dyDescent="0.25">
      <c r="G350" s="3"/>
      <c r="H350" s="3"/>
    </row>
    <row r="351" spans="7:8" x14ac:dyDescent="0.25">
      <c r="G351" s="3"/>
      <c r="H351" s="3"/>
    </row>
    <row r="352" spans="7:8" x14ac:dyDescent="0.25">
      <c r="G352" s="3"/>
      <c r="H352" s="3"/>
    </row>
    <row r="353" spans="7:8" x14ac:dyDescent="0.25">
      <c r="G353" s="3"/>
      <c r="H353" s="3"/>
    </row>
    <row r="354" spans="7:8" x14ac:dyDescent="0.25">
      <c r="G354" s="3"/>
      <c r="H354" s="3"/>
    </row>
    <row r="355" spans="7:8" x14ac:dyDescent="0.25">
      <c r="G355" s="3"/>
      <c r="H355" s="3"/>
    </row>
    <row r="356" spans="7:8" x14ac:dyDescent="0.25">
      <c r="G356" s="3"/>
      <c r="H356" s="3"/>
    </row>
    <row r="357" spans="7:8" x14ac:dyDescent="0.25">
      <c r="G357" s="3"/>
      <c r="H357" s="3"/>
    </row>
    <row r="358" spans="7:8" x14ac:dyDescent="0.25">
      <c r="G358" s="3"/>
      <c r="H358" s="3"/>
    </row>
    <row r="359" spans="7:8" x14ac:dyDescent="0.25">
      <c r="G359" s="3"/>
      <c r="H359" s="3"/>
    </row>
    <row r="360" spans="7:8" x14ac:dyDescent="0.25">
      <c r="G360" s="3"/>
      <c r="H360" s="3"/>
    </row>
    <row r="361" spans="7:8" x14ac:dyDescent="0.25">
      <c r="G361" s="3"/>
      <c r="H361" s="3"/>
    </row>
    <row r="362" spans="7:8" x14ac:dyDescent="0.25">
      <c r="G362" s="3"/>
      <c r="H362" s="3"/>
    </row>
    <row r="363" spans="7:8" x14ac:dyDescent="0.25">
      <c r="G363" s="3"/>
      <c r="H363" s="3"/>
    </row>
    <row r="364" spans="7:8" x14ac:dyDescent="0.25">
      <c r="G364" s="3"/>
      <c r="H364" s="3"/>
    </row>
    <row r="365" spans="7:8" x14ac:dyDescent="0.25">
      <c r="G365" s="3"/>
      <c r="H365" s="3"/>
    </row>
    <row r="366" spans="7:8" x14ac:dyDescent="0.25">
      <c r="G366" s="3"/>
      <c r="H366" s="3"/>
    </row>
    <row r="367" spans="7:8" x14ac:dyDescent="0.25">
      <c r="G367" s="3"/>
      <c r="H367" s="3"/>
    </row>
    <row r="368" spans="7:8" x14ac:dyDescent="0.25">
      <c r="G368" s="3"/>
      <c r="H368" s="3"/>
    </row>
    <row r="369" spans="7:8" x14ac:dyDescent="0.25">
      <c r="G369" s="3"/>
      <c r="H369" s="3"/>
    </row>
    <row r="370" spans="7:8" x14ac:dyDescent="0.25">
      <c r="G370" s="3"/>
      <c r="H370" s="3"/>
    </row>
    <row r="371" spans="7:8" x14ac:dyDescent="0.25">
      <c r="G371" s="3"/>
      <c r="H371" s="3"/>
    </row>
    <row r="372" spans="7:8" x14ac:dyDescent="0.25">
      <c r="G372" s="3"/>
      <c r="H372" s="3"/>
    </row>
    <row r="373" spans="7:8" x14ac:dyDescent="0.25">
      <c r="G373" s="3"/>
      <c r="H373" s="3"/>
    </row>
    <row r="374" spans="7:8" x14ac:dyDescent="0.25">
      <c r="G374" s="3"/>
      <c r="H374" s="3"/>
    </row>
    <row r="375" spans="7:8" x14ac:dyDescent="0.25">
      <c r="G375" s="3"/>
      <c r="H375" s="3"/>
    </row>
    <row r="376" spans="7:8" x14ac:dyDescent="0.25">
      <c r="G376" s="3"/>
      <c r="H376" s="3"/>
    </row>
    <row r="377" spans="7:8" x14ac:dyDescent="0.25">
      <c r="G377" s="3"/>
      <c r="H377" s="3"/>
    </row>
    <row r="378" spans="7:8" x14ac:dyDescent="0.25">
      <c r="G378" s="3"/>
      <c r="H378" s="3"/>
    </row>
    <row r="379" spans="7:8" x14ac:dyDescent="0.25">
      <c r="G379" s="3"/>
      <c r="H379" s="3"/>
    </row>
    <row r="380" spans="7:8" x14ac:dyDescent="0.25">
      <c r="G380" s="3"/>
      <c r="H380" s="3"/>
    </row>
    <row r="381" spans="7:8" x14ac:dyDescent="0.25">
      <c r="G381" s="3"/>
      <c r="H381" s="3"/>
    </row>
    <row r="382" spans="7:8" x14ac:dyDescent="0.25">
      <c r="G382" s="3"/>
      <c r="H382" s="3"/>
    </row>
    <row r="383" spans="7:8" x14ac:dyDescent="0.25">
      <c r="G383" s="3"/>
      <c r="H383" s="3"/>
    </row>
    <row r="384" spans="7:8" x14ac:dyDescent="0.25">
      <c r="G384" s="3"/>
      <c r="H384" s="3"/>
    </row>
    <row r="385" spans="7:8" x14ac:dyDescent="0.25">
      <c r="G385" s="3"/>
      <c r="H385" s="3"/>
    </row>
    <row r="386" spans="7:8" x14ac:dyDescent="0.25">
      <c r="G386" s="3"/>
      <c r="H386" s="3"/>
    </row>
    <row r="387" spans="7:8" x14ac:dyDescent="0.25">
      <c r="G387" s="3"/>
      <c r="H387" s="3"/>
    </row>
    <row r="388" spans="7:8" x14ac:dyDescent="0.25">
      <c r="G388" s="3"/>
      <c r="H388" s="3"/>
    </row>
    <row r="389" spans="7:8" x14ac:dyDescent="0.25">
      <c r="G389" s="3"/>
      <c r="H389" s="3"/>
    </row>
    <row r="390" spans="7:8" x14ac:dyDescent="0.25">
      <c r="G390" s="3"/>
      <c r="H390" s="3"/>
    </row>
    <row r="391" spans="7:8" x14ac:dyDescent="0.25">
      <c r="G391" s="3"/>
      <c r="H391" s="3"/>
    </row>
    <row r="392" spans="7:8" x14ac:dyDescent="0.25">
      <c r="G392" s="3"/>
      <c r="H392" s="3"/>
    </row>
    <row r="393" spans="7:8" x14ac:dyDescent="0.25">
      <c r="G393" s="3"/>
      <c r="H393" s="3"/>
    </row>
    <row r="394" spans="7:8" x14ac:dyDescent="0.25">
      <c r="G394" s="3"/>
      <c r="H394" s="3"/>
    </row>
    <row r="395" spans="7:8" x14ac:dyDescent="0.25">
      <c r="G395" s="3"/>
      <c r="H395" s="3"/>
    </row>
    <row r="396" spans="7:8" x14ac:dyDescent="0.25">
      <c r="G396" s="3"/>
      <c r="H396" s="3"/>
    </row>
    <row r="397" spans="7:8" x14ac:dyDescent="0.25">
      <c r="G397" s="3"/>
      <c r="H397" s="3"/>
    </row>
    <row r="398" spans="7:8" x14ac:dyDescent="0.25">
      <c r="G398" s="3"/>
      <c r="H398" s="3"/>
    </row>
    <row r="399" spans="7:8" x14ac:dyDescent="0.25">
      <c r="G399" s="3"/>
      <c r="H399" s="3"/>
    </row>
    <row r="400" spans="7:8" x14ac:dyDescent="0.25">
      <c r="G400" s="3"/>
      <c r="H400" s="3"/>
    </row>
    <row r="401" spans="7:8" x14ac:dyDescent="0.25">
      <c r="G401" s="3"/>
      <c r="H401" s="3"/>
    </row>
    <row r="402" spans="7:8" x14ac:dyDescent="0.25">
      <c r="G402" s="3"/>
      <c r="H402" s="3"/>
    </row>
    <row r="403" spans="7:8" x14ac:dyDescent="0.25">
      <c r="G403" s="3"/>
      <c r="H403" s="3"/>
    </row>
    <row r="404" spans="7:8" x14ac:dyDescent="0.25">
      <c r="G404" s="3"/>
      <c r="H404" s="3"/>
    </row>
    <row r="405" spans="7:8" x14ac:dyDescent="0.25">
      <c r="G405" s="3"/>
      <c r="H405" s="3"/>
    </row>
    <row r="406" spans="7:8" x14ac:dyDescent="0.25">
      <c r="G406" s="3"/>
      <c r="H406" s="3"/>
    </row>
    <row r="407" spans="7:8" x14ac:dyDescent="0.25">
      <c r="G407" s="3"/>
      <c r="H407" s="3"/>
    </row>
    <row r="408" spans="7:8" x14ac:dyDescent="0.25">
      <c r="G408" s="3"/>
      <c r="H408" s="3"/>
    </row>
    <row r="409" spans="7:8" x14ac:dyDescent="0.25">
      <c r="G409" s="3"/>
      <c r="H409" s="3"/>
    </row>
    <row r="410" spans="7:8" x14ac:dyDescent="0.25">
      <c r="G410" s="3"/>
      <c r="H410" s="3"/>
    </row>
    <row r="411" spans="7:8" x14ac:dyDescent="0.25">
      <c r="G411" s="3"/>
      <c r="H411" s="3"/>
    </row>
    <row r="412" spans="7:8" x14ac:dyDescent="0.25">
      <c r="G412" s="3"/>
      <c r="H412" s="3"/>
    </row>
    <row r="413" spans="7:8" x14ac:dyDescent="0.25">
      <c r="G413" s="3"/>
      <c r="H413" s="3"/>
    </row>
    <row r="414" spans="7:8" x14ac:dyDescent="0.25">
      <c r="G414" s="3"/>
      <c r="H414" s="3"/>
    </row>
    <row r="415" spans="7:8" x14ac:dyDescent="0.25">
      <c r="G415" s="3"/>
      <c r="H415" s="3"/>
    </row>
    <row r="416" spans="7:8" x14ac:dyDescent="0.25">
      <c r="G416" s="3"/>
      <c r="H416" s="3"/>
    </row>
    <row r="417" spans="7:8" x14ac:dyDescent="0.25">
      <c r="G417" s="3"/>
      <c r="H417" s="3"/>
    </row>
    <row r="418" spans="7:8" x14ac:dyDescent="0.25">
      <c r="G418" s="3"/>
      <c r="H418" s="3"/>
    </row>
    <row r="419" spans="7:8" x14ac:dyDescent="0.25">
      <c r="G419" s="3"/>
      <c r="H419" s="3"/>
    </row>
    <row r="420" spans="7:8" x14ac:dyDescent="0.25">
      <c r="G420" s="3"/>
      <c r="H420" s="3"/>
    </row>
    <row r="421" spans="7:8" x14ac:dyDescent="0.25">
      <c r="G421" s="3"/>
      <c r="H421" s="3"/>
    </row>
    <row r="422" spans="7:8" x14ac:dyDescent="0.25">
      <c r="G422" s="3"/>
      <c r="H422" s="3"/>
    </row>
    <row r="423" spans="7:8" x14ac:dyDescent="0.25">
      <c r="G423" s="3"/>
      <c r="H423" s="3"/>
    </row>
    <row r="424" spans="7:8" x14ac:dyDescent="0.25">
      <c r="G424" s="3"/>
      <c r="H424" s="3"/>
    </row>
    <row r="425" spans="7:8" x14ac:dyDescent="0.25">
      <c r="G425" s="3"/>
      <c r="H425" s="3"/>
    </row>
    <row r="426" spans="7:8" x14ac:dyDescent="0.25">
      <c r="G426" s="3"/>
      <c r="H426" s="3"/>
    </row>
    <row r="427" spans="7:8" x14ac:dyDescent="0.25">
      <c r="G427" s="3"/>
      <c r="H427" s="3"/>
    </row>
    <row r="428" spans="7:8" x14ac:dyDescent="0.25">
      <c r="G428" s="3"/>
      <c r="H428" s="3"/>
    </row>
    <row r="429" spans="7:8" x14ac:dyDescent="0.25">
      <c r="G429" s="3"/>
      <c r="H429" s="3"/>
    </row>
    <row r="430" spans="7:8" x14ac:dyDescent="0.25">
      <c r="G430" s="3"/>
      <c r="H430" s="3"/>
    </row>
    <row r="431" spans="7:8" x14ac:dyDescent="0.25">
      <c r="G431" s="3"/>
      <c r="H431" s="3"/>
    </row>
    <row r="432" spans="7:8" x14ac:dyDescent="0.25">
      <c r="G432" s="3"/>
      <c r="H432" s="3"/>
    </row>
    <row r="433" spans="7:8" x14ac:dyDescent="0.25">
      <c r="G433" s="3"/>
      <c r="H433" s="3"/>
    </row>
    <row r="434" spans="7:8" x14ac:dyDescent="0.25">
      <c r="G434" s="3"/>
      <c r="H434" s="3"/>
    </row>
    <row r="435" spans="7:8" x14ac:dyDescent="0.25">
      <c r="G435" s="3"/>
      <c r="H435" s="3"/>
    </row>
    <row r="436" spans="7:8" x14ac:dyDescent="0.25">
      <c r="G436" s="3"/>
      <c r="H436" s="3"/>
    </row>
    <row r="437" spans="7:8" x14ac:dyDescent="0.25">
      <c r="G437" s="3"/>
      <c r="H437" s="3"/>
    </row>
    <row r="438" spans="7:8" x14ac:dyDescent="0.25">
      <c r="G438" s="3"/>
      <c r="H438" s="3"/>
    </row>
    <row r="439" spans="7:8" x14ac:dyDescent="0.25">
      <c r="G439" s="3"/>
      <c r="H439" s="3"/>
    </row>
    <row r="440" spans="7:8" x14ac:dyDescent="0.25">
      <c r="G440" s="3"/>
      <c r="H440" s="3"/>
    </row>
    <row r="441" spans="7:8" x14ac:dyDescent="0.25">
      <c r="G441" s="3"/>
      <c r="H441" s="3"/>
    </row>
    <row r="442" spans="7:8" x14ac:dyDescent="0.25">
      <c r="G442" s="3"/>
      <c r="H442" s="3"/>
    </row>
    <row r="443" spans="7:8" x14ac:dyDescent="0.25">
      <c r="G443" s="3"/>
      <c r="H443" s="3"/>
    </row>
    <row r="444" spans="7:8" x14ac:dyDescent="0.25">
      <c r="G444" s="3"/>
      <c r="H444" s="3"/>
    </row>
    <row r="445" spans="7:8" x14ac:dyDescent="0.25">
      <c r="G445" s="3"/>
      <c r="H445" s="3"/>
    </row>
    <row r="446" spans="7:8" x14ac:dyDescent="0.25">
      <c r="G446" s="3"/>
      <c r="H446" s="3"/>
    </row>
    <row r="447" spans="7:8" x14ac:dyDescent="0.25">
      <c r="G447" s="3"/>
      <c r="H447" s="3"/>
    </row>
    <row r="448" spans="7:8" x14ac:dyDescent="0.25">
      <c r="G448" s="3"/>
      <c r="H448" s="3"/>
    </row>
    <row r="449" spans="7:8" x14ac:dyDescent="0.25">
      <c r="G449" s="3"/>
      <c r="H449" s="3"/>
    </row>
    <row r="450" spans="7:8" x14ac:dyDescent="0.25">
      <c r="G450" s="3"/>
      <c r="H450" s="3"/>
    </row>
    <row r="451" spans="7:8" x14ac:dyDescent="0.25">
      <c r="G451" s="3"/>
      <c r="H451" s="3"/>
    </row>
    <row r="452" spans="7:8" x14ac:dyDescent="0.25">
      <c r="G452" s="3"/>
      <c r="H452" s="3"/>
    </row>
    <row r="453" spans="7:8" x14ac:dyDescent="0.25">
      <c r="G453" s="3"/>
      <c r="H453" s="3"/>
    </row>
    <row r="454" spans="7:8" x14ac:dyDescent="0.25">
      <c r="G454" s="3"/>
      <c r="H454" s="3"/>
    </row>
    <row r="455" spans="7:8" x14ac:dyDescent="0.25">
      <c r="G455" s="3"/>
      <c r="H455" s="3"/>
    </row>
    <row r="456" spans="7:8" x14ac:dyDescent="0.25">
      <c r="G456" s="3"/>
      <c r="H456" s="3"/>
    </row>
    <row r="457" spans="7:8" x14ac:dyDescent="0.25">
      <c r="G457" s="3"/>
      <c r="H457" s="3"/>
    </row>
    <row r="458" spans="7:8" x14ac:dyDescent="0.25">
      <c r="G458" s="3"/>
      <c r="H458" s="3"/>
    </row>
    <row r="459" spans="7:8" x14ac:dyDescent="0.25">
      <c r="G459" s="3"/>
      <c r="H459" s="3"/>
    </row>
    <row r="460" spans="7:8" x14ac:dyDescent="0.25">
      <c r="G460" s="3"/>
      <c r="H460" s="3"/>
    </row>
    <row r="461" spans="7:8" x14ac:dyDescent="0.25">
      <c r="G461" s="3"/>
      <c r="H461" s="3"/>
    </row>
    <row r="462" spans="7:8" x14ac:dyDescent="0.25">
      <c r="G462" s="3"/>
      <c r="H462" s="3"/>
    </row>
    <row r="463" spans="7:8" x14ac:dyDescent="0.25">
      <c r="G463" s="3"/>
      <c r="H463" s="3"/>
    </row>
  </sheetData>
  <mergeCells count="163">
    <mergeCell ref="E136:E137"/>
    <mergeCell ref="N2:N3"/>
    <mergeCell ref="N8:N9"/>
    <mergeCell ref="N12:N15"/>
    <mergeCell ref="N17:N19"/>
    <mergeCell ref="N20:N22"/>
    <mergeCell ref="N31:N32"/>
    <mergeCell ref="N33:N34"/>
    <mergeCell ref="N35:N36"/>
    <mergeCell ref="N47:N48"/>
    <mergeCell ref="N54:N55"/>
    <mergeCell ref="N58:N59"/>
    <mergeCell ref="N76:N77"/>
    <mergeCell ref="N92:N93"/>
    <mergeCell ref="N110:N111"/>
    <mergeCell ref="E35:E36"/>
    <mergeCell ref="E47:E48"/>
    <mergeCell ref="E54:E55"/>
    <mergeCell ref="E58:E59"/>
    <mergeCell ref="J136:J137"/>
    <mergeCell ref="K136:K137"/>
    <mergeCell ref="L136:L137"/>
    <mergeCell ref="M136:M137"/>
    <mergeCell ref="P2:P3"/>
    <mergeCell ref="O2:O3"/>
    <mergeCell ref="B136:B137"/>
    <mergeCell ref="F136:F137"/>
    <mergeCell ref="G136:G137"/>
    <mergeCell ref="H136:H137"/>
    <mergeCell ref="H110:H111"/>
    <mergeCell ref="J110:J111"/>
    <mergeCell ref="K110:K111"/>
    <mergeCell ref="L110:L111"/>
    <mergeCell ref="M110:M111"/>
    <mergeCell ref="M58:M59"/>
    <mergeCell ref="G54:G55"/>
    <mergeCell ref="H54:H55"/>
    <mergeCell ref="B47:B48"/>
    <mergeCell ref="F47:F48"/>
    <mergeCell ref="E1:E3"/>
    <mergeCell ref="C1:C3"/>
    <mergeCell ref="E8:E9"/>
    <mergeCell ref="E12:E15"/>
    <mergeCell ref="H92:H93"/>
    <mergeCell ref="J92:J93"/>
    <mergeCell ref="K92:K93"/>
    <mergeCell ref="L92:L93"/>
    <mergeCell ref="M92:M93"/>
    <mergeCell ref="B110:B111"/>
    <mergeCell ref="F110:F111"/>
    <mergeCell ref="G110:G111"/>
    <mergeCell ref="B92:B93"/>
    <mergeCell ref="F92:F93"/>
    <mergeCell ref="G92:G93"/>
    <mergeCell ref="E92:E93"/>
    <mergeCell ref="E110:E111"/>
    <mergeCell ref="J47:J48"/>
    <mergeCell ref="K47:K48"/>
    <mergeCell ref="L47:L48"/>
    <mergeCell ref="M47:M48"/>
    <mergeCell ref="B54:B55"/>
    <mergeCell ref="F54:F55"/>
    <mergeCell ref="X2:X3"/>
    <mergeCell ref="G47:G48"/>
    <mergeCell ref="H47:H48"/>
    <mergeCell ref="R2:R3"/>
    <mergeCell ref="S2:S3"/>
    <mergeCell ref="T2:T3"/>
    <mergeCell ref="U2:U3"/>
    <mergeCell ref="K1:K3"/>
    <mergeCell ref="L1:L3"/>
    <mergeCell ref="M1:M3"/>
    <mergeCell ref="Q2:Q3"/>
    <mergeCell ref="O1:X1"/>
    <mergeCell ref="H35:H36"/>
    <mergeCell ref="J35:J36"/>
    <mergeCell ref="K35:K36"/>
    <mergeCell ref="L35:L36"/>
    <mergeCell ref="E17:E19"/>
    <mergeCell ref="E20:E22"/>
    <mergeCell ref="B76:B77"/>
    <mergeCell ref="F76:F77"/>
    <mergeCell ref="G76:G77"/>
    <mergeCell ref="J54:J55"/>
    <mergeCell ref="K54:K55"/>
    <mergeCell ref="L54:L55"/>
    <mergeCell ref="M54:M55"/>
    <mergeCell ref="B58:B59"/>
    <mergeCell ref="F58:F59"/>
    <mergeCell ref="G58:G59"/>
    <mergeCell ref="H58:H59"/>
    <mergeCell ref="H76:H77"/>
    <mergeCell ref="J76:J77"/>
    <mergeCell ref="K76:K77"/>
    <mergeCell ref="L76:L77"/>
    <mergeCell ref="M76:M77"/>
    <mergeCell ref="K58:K59"/>
    <mergeCell ref="L58:L59"/>
    <mergeCell ref="E76:E77"/>
    <mergeCell ref="M35:M36"/>
    <mergeCell ref="M33:M34"/>
    <mergeCell ref="M31:M32"/>
    <mergeCell ref="M20:M22"/>
    <mergeCell ref="M17:M19"/>
    <mergeCell ref="H2:H3"/>
    <mergeCell ref="G1:H1"/>
    <mergeCell ref="J1:J3"/>
    <mergeCell ref="V2:W2"/>
    <mergeCell ref="I1:I3"/>
    <mergeCell ref="A1:A3"/>
    <mergeCell ref="B1:B3"/>
    <mergeCell ref="D1:D3"/>
    <mergeCell ref="F1:F3"/>
    <mergeCell ref="G2:G3"/>
    <mergeCell ref="H33:H34"/>
    <mergeCell ref="J33:J34"/>
    <mergeCell ref="K33:K34"/>
    <mergeCell ref="L33:L34"/>
    <mergeCell ref="J20:J22"/>
    <mergeCell ref="K20:K22"/>
    <mergeCell ref="L20:L22"/>
    <mergeCell ref="J17:J19"/>
    <mergeCell ref="K17:K19"/>
    <mergeCell ref="L17:L19"/>
    <mergeCell ref="B20:B22"/>
    <mergeCell ref="F20:F22"/>
    <mergeCell ref="G20:G22"/>
    <mergeCell ref="H20:H22"/>
    <mergeCell ref="B17:B19"/>
    <mergeCell ref="B35:B36"/>
    <mergeCell ref="F35:F36"/>
    <mergeCell ref="G35:G36"/>
    <mergeCell ref="H31:H32"/>
    <mergeCell ref="J31:J32"/>
    <mergeCell ref="K31:K32"/>
    <mergeCell ref="L31:L32"/>
    <mergeCell ref="B33:B34"/>
    <mergeCell ref="F33:F34"/>
    <mergeCell ref="G33:G34"/>
    <mergeCell ref="B31:B32"/>
    <mergeCell ref="F31:F32"/>
    <mergeCell ref="G31:G32"/>
    <mergeCell ref="E31:E32"/>
    <mergeCell ref="E33:E34"/>
    <mergeCell ref="J12:J15"/>
    <mergeCell ref="K12:K15"/>
    <mergeCell ref="L12:L15"/>
    <mergeCell ref="M12:M15"/>
    <mergeCell ref="L8:L9"/>
    <mergeCell ref="M8:M9"/>
    <mergeCell ref="K8:K9"/>
    <mergeCell ref="H8:H9"/>
    <mergeCell ref="J8:J9"/>
    <mergeCell ref="B8:B9"/>
    <mergeCell ref="B12:B15"/>
    <mergeCell ref="F12:F15"/>
    <mergeCell ref="G12:G15"/>
    <mergeCell ref="F8:F9"/>
    <mergeCell ref="G8:G9"/>
    <mergeCell ref="F17:F19"/>
    <mergeCell ref="G17:G19"/>
    <mergeCell ref="H17:H19"/>
    <mergeCell ref="H12:H15"/>
  </mergeCells>
  <phoneticPr fontId="2" type="noConversion"/>
  <conditionalFormatting sqref="A9:I9 K9:R9 A5:R8 A10:R10 A4:X4 S5:X10 A11:X500">
    <cfRule type="expression" dxfId="2" priority="6">
      <formula>MOD($A4,2)=0</formula>
    </cfRule>
    <cfRule type="expression" dxfId="1" priority="7">
      <formula>MOD($A4,2)=1</formula>
    </cfRule>
  </conditionalFormatting>
  <conditionalFormatting sqref="G4:H500">
    <cfRule type="expression" dxfId="4" priority="3">
      <formula>$I4 ="Nam"</formula>
    </cfRule>
    <cfRule type="expression" dxfId="3" priority="2">
      <formula>$I4 = "Nữ"</formula>
    </cfRule>
  </conditionalFormatting>
  <conditionalFormatting sqref="A9:I9 K9:R9 A5:R8 A10:R10 A1:X4 S5:X10 A11:X500">
    <cfRule type="expression" dxfId="0" priority="1">
      <formula xml:space="preserve"> A1="Không Rõ"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</dc:creator>
  <cp:lastModifiedBy>chi bach pham</cp:lastModifiedBy>
  <dcterms:created xsi:type="dcterms:W3CDTF">2020-12-15T13:14:30Z</dcterms:created>
  <dcterms:modified xsi:type="dcterms:W3CDTF">2021-01-10T15:41:19Z</dcterms:modified>
</cp:coreProperties>
</file>